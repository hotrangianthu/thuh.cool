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gianthu.ho\Documents\strategize\public_policy_artifact\carbon_tax_15usd_simulation\"/>
    </mc:Choice>
  </mc:AlternateContent>
  <xr:revisionPtr revIDLastSave="0" documentId="13_ncr:1_{DD2FCBFE-2DB0-4828-A7E0-495C33967920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Cover" sheetId="1" r:id="rId1"/>
    <sheet name="Executive Summary" sheetId="2" r:id="rId2"/>
    <sheet name="Scenario Comparison" sheetId="3" r:id="rId3"/>
    <sheet name="Decision Matrix" sheetId="4" r:id="rId4"/>
    <sheet name="Assumptions Log" sheetId="5" r:id="rId5"/>
    <sheet name="Revenue Build-Up" sheetId="6" r:id="rId6"/>
    <sheet name="Cost &amp; Investment" sheetId="7" r:id="rId7"/>
    <sheet name="P&amp;L Waterfall" sheetId="8" r:id="rId8"/>
    <sheet name="ROI &amp; Payback" sheetId="9" r:id="rId9"/>
    <sheet name="Sensitivity Analysis" sheetId="10" r:id="rId10"/>
    <sheet name="Data Sources" sheetId="11" r:id="rId11"/>
    <sheet name="Methodology Notes" sheetId="12" r:id="rId12"/>
    <sheet name="Sector Incidence" sheetId="13" r:id="rId13"/>
  </sheets>
  <definedNames>
    <definedName name="_xlnm._FilterDatabase" localSheetId="4" hidden="1">'Assumptions Log'!$A$4:$M$22</definedName>
    <definedName name="_xlnm._FilterDatabase" localSheetId="5" hidden="1">'Revenue Build-Up'!$A$4:$AI$19</definedName>
    <definedName name="accelerated_base_carbon_gdp_drag_pct">'Revenue Build-Up'!$Y$17</definedName>
    <definedName name="accelerated_base_efficiency_gdp_benefit_pct">'Revenue Build-Up'!$Z$17</definedName>
    <definedName name="accelerated_base_emissions_reduction_mt">'Revenue Build-Up'!$R$17</definedName>
    <definedName name="accelerated_base_emissions_reduction_pct">'Revenue Build-Up'!$Q$17</definedName>
    <definedName name="accelerated_base_fiscal_revenue_per_t_abated">'Revenue Build-Up'!$AI$17</definedName>
    <definedName name="accelerated_base_government_revenue_index_pct">'Revenue Build-Up'!$AF$17</definedName>
    <definedName name="accelerated_base_gross_fiscal_revenue_bn">'Revenue Build-Up'!$U$17</definedName>
    <definedName name="accelerated_base_household_compensation_pct">'Revenue Build-Up'!$AG$17</definedName>
    <definedName name="accelerated_base_investment_impact_pct">'Revenue Build-Up'!$AE$17</definedName>
    <definedName name="accelerated_base_ndc_progress_pct">'Revenue Build-Up'!$AH$17</definedName>
    <definedName name="accelerated_base_net_budget_revenue_bn">'Revenue Build-Up'!$X$17</definedName>
    <definedName name="accelerated_base_net_fiscal_revenue_bn">'Revenue Build-Up'!$V$17</definedName>
    <definedName name="accelerated_base_net_gdp_impact_bn">'Revenue Build-Up'!$AC$17</definedName>
    <definedName name="accelerated_base_net_gdp_impact_pct">'Revenue Build-Up'!$AB$17</definedName>
    <definedName name="accelerated_base_recycled_revenue_bn">'Revenue Build-Up'!$W$17</definedName>
    <definedName name="accelerated_base_recycling_gdp_offset_pct">'Revenue Build-Up'!$AA$17</definedName>
    <definedName name="accelerated_base_residual_emissions_mt">'Revenue Build-Up'!$S$17</definedName>
    <definedName name="accelerated_base_trade_impact_pct">'Revenue Build-Up'!$AD$17</definedName>
    <definedName name="accelerated_bear_emissions_reduction_mt">'Revenue Build-Up'!$R$19</definedName>
    <definedName name="accelerated_bear_emissions_reduction_pct">'Revenue Build-Up'!$Q$19</definedName>
    <definedName name="accelerated_bear_fiscal_revenue_per_t_abated">'Revenue Build-Up'!$AI$19</definedName>
    <definedName name="accelerated_bear_government_revenue_index_pct">'Revenue Build-Up'!$AF$19</definedName>
    <definedName name="accelerated_bear_gross_fiscal_revenue_bn">'Revenue Build-Up'!$U$19</definedName>
    <definedName name="accelerated_bear_household_compensation_pct">'Revenue Build-Up'!$AG$19</definedName>
    <definedName name="accelerated_bear_investment_impact_pct">'Revenue Build-Up'!$AE$19</definedName>
    <definedName name="accelerated_bear_ndc_progress_pct">'Revenue Build-Up'!$AH$19</definedName>
    <definedName name="accelerated_bear_net_budget_revenue_bn">'Revenue Build-Up'!$X$19</definedName>
    <definedName name="accelerated_bear_net_fiscal_revenue_bn">'Revenue Build-Up'!$V$19</definedName>
    <definedName name="accelerated_bear_net_gdp_impact_bn">'Revenue Build-Up'!$AC$19</definedName>
    <definedName name="accelerated_bear_net_gdp_impact_pct">'Revenue Build-Up'!$AB$19</definedName>
    <definedName name="accelerated_bear_recycled_revenue_bn">'Revenue Build-Up'!$W$19</definedName>
    <definedName name="accelerated_bear_residual_emissions_mt">'Revenue Build-Up'!$S$19</definedName>
    <definedName name="accelerated_bear_trade_impact_pct">'Revenue Build-Up'!$AD$19</definedName>
    <definedName name="accelerated_bull_emissions_reduction_mt">'Revenue Build-Up'!$R$18</definedName>
    <definedName name="accelerated_bull_emissions_reduction_pct">'Revenue Build-Up'!$Q$18</definedName>
    <definedName name="accelerated_bull_fiscal_revenue_per_t_abated">'Revenue Build-Up'!$AI$18</definedName>
    <definedName name="accelerated_bull_government_revenue_index_pct">'Revenue Build-Up'!$AF$18</definedName>
    <definedName name="accelerated_bull_gross_fiscal_revenue_bn">'Revenue Build-Up'!$U$18</definedName>
    <definedName name="accelerated_bull_household_compensation_pct">'Revenue Build-Up'!$AG$18</definedName>
    <definedName name="accelerated_bull_investment_impact_pct">'Revenue Build-Up'!$AE$18</definedName>
    <definedName name="accelerated_bull_ndc_progress_pct">'Revenue Build-Up'!$AH$18</definedName>
    <definedName name="accelerated_bull_net_budget_revenue_bn">'Revenue Build-Up'!$X$18</definedName>
    <definedName name="accelerated_bull_net_fiscal_revenue_bn">'Revenue Build-Up'!$V$18</definedName>
    <definedName name="accelerated_bull_net_gdp_impact_bn">'Revenue Build-Up'!$AC$18</definedName>
    <definedName name="accelerated_bull_net_gdp_impact_pct">'Revenue Build-Up'!$AB$18</definedName>
    <definedName name="accelerated_bull_recycled_revenue_bn">'Revenue Build-Up'!$W$18</definedName>
    <definedName name="accelerated_bull_residual_emissions_mt">'Revenue Build-Up'!$S$18</definedName>
    <definedName name="accelerated_bull_trade_impact_pct">'Revenue Build-Up'!$AD$18</definedName>
    <definedName name="accelerated_collection">'Scenario Comparison'!$G$9</definedName>
    <definedName name="accelerated_coverage">'Scenario Comparison'!$C$9</definedName>
    <definedName name="accelerated_efficiency">'Scenario Comparison'!$F$9</definedName>
    <definedName name="accelerated_exemption">'Scenario Comparison'!$D$9</definedName>
    <definedName name="accelerated_feasibility">'Scenario Comparison'!$I$9</definedName>
    <definedName name="accelerated_leakage">'Scenario Comparison'!$H$9</definedName>
    <definedName name="accelerated_price">'Scenario Comparison'!$B$9</definedName>
    <definedName name="accelerated_recycling">'Scenario Comparison'!$E$9</definedName>
    <definedName name="base_anchor_carbon_price">'Assumptions Log'!$C$7</definedName>
    <definedName name="base_anchor_emissions_reduction">'Assumptions Log'!$C$8</definedName>
    <definedName name="base_anchor_gdp_drag">'Assumptions Log'!$C$9</definedName>
    <definedName name="base_anchor_government_revenue_index_uplift">'Assumptions Log'!$C$12</definedName>
    <definedName name="base_anchor_investment_drag">'Assumptions Log'!$C$11</definedName>
    <definedName name="base_anchor_trade_drag">'Assumptions Log'!$C$10</definedName>
    <definedName name="base_baseline_ghg_emissions">'Assumptions Log'!$C$5</definedName>
    <definedName name="base_bottom_households_potentially_compensated">'Assumptions Log'!$C$14</definedName>
    <definedName name="base_efficiency_benchmark">'Assumptions Log'!$C$15</definedName>
    <definedName name="base_efficiency_gdp_benefit_at_benchmark">'Assumptions Log'!$C$16</definedName>
    <definedName name="base_efficiency_to_emissions_pass_through">'Assumptions Log'!$C$21</definedName>
    <definedName name="base_ndc_conditional_reduction">'Assumptions Log'!$C$18</definedName>
    <definedName name="base_ndc_unconditional_reduction">'Assumptions Log'!$C$17</definedName>
    <definedName name="base_pilot_annual_emissions_quota">'Assumptions Log'!$C$19</definedName>
    <definedName name="base_price_response_exponent">'Assumptions Log'!$C$20</definedName>
    <definedName name="base_recycling_gdp_offset_at_threshold">'Assumptions Log'!$C$22</definedName>
    <definedName name="base_reference_nominal_gdp">'Assumptions Log'!$C$6</definedName>
    <definedName name="base_revenue_recycling_threshold">'Assumptions Log'!$C$13</definedName>
    <definedName name="bear_anchor_carbon_price">'Assumptions Log'!$E$7</definedName>
    <definedName name="bear_anchor_emissions_reduction">'Assumptions Log'!$E$8</definedName>
    <definedName name="bear_anchor_gdp_drag">'Assumptions Log'!$E$9</definedName>
    <definedName name="bear_anchor_government_revenue_index_uplift">'Assumptions Log'!$E$12</definedName>
    <definedName name="bear_anchor_investment_drag">'Assumptions Log'!$E$11</definedName>
    <definedName name="bear_anchor_trade_drag">'Assumptions Log'!$E$10</definedName>
    <definedName name="bear_baseline_ghg_emissions">'Assumptions Log'!$E$5</definedName>
    <definedName name="bear_bottom_households_potentially_compensated">'Assumptions Log'!$E$14</definedName>
    <definedName name="bear_efficiency_benchmark">'Assumptions Log'!$E$15</definedName>
    <definedName name="bear_efficiency_gdp_benefit_at_benchmark">'Assumptions Log'!$E$16</definedName>
    <definedName name="bear_efficiency_to_emissions_pass_through">'Assumptions Log'!$E$21</definedName>
    <definedName name="bear_ndc_conditional_reduction">'Assumptions Log'!$E$18</definedName>
    <definedName name="bear_ndc_unconditional_reduction">'Assumptions Log'!$E$17</definedName>
    <definedName name="bear_pilot_annual_emissions_quota">'Assumptions Log'!$E$19</definedName>
    <definedName name="bear_price_response_exponent">'Assumptions Log'!$E$20</definedName>
    <definedName name="bear_recycling_gdp_offset_at_threshold">'Assumptions Log'!$E$22</definedName>
    <definedName name="bear_reference_nominal_gdp">'Assumptions Log'!$E$6</definedName>
    <definedName name="bear_revenue_recycling_threshold">'Assumptions Log'!$E$13</definedName>
    <definedName name="bull_anchor_carbon_price">'Assumptions Log'!$D$7</definedName>
    <definedName name="bull_anchor_emissions_reduction">'Assumptions Log'!$D$8</definedName>
    <definedName name="bull_anchor_gdp_drag">'Assumptions Log'!$D$9</definedName>
    <definedName name="bull_anchor_government_revenue_index_uplift">'Assumptions Log'!$D$12</definedName>
    <definedName name="bull_anchor_investment_drag">'Assumptions Log'!$D$11</definedName>
    <definedName name="bull_anchor_trade_drag">'Assumptions Log'!$D$10</definedName>
    <definedName name="bull_baseline_ghg_emissions">'Assumptions Log'!$D$5</definedName>
    <definedName name="bull_bottom_households_potentially_compensated">'Assumptions Log'!$D$14</definedName>
    <definedName name="bull_efficiency_benchmark">'Assumptions Log'!$D$15</definedName>
    <definedName name="bull_efficiency_gdp_benefit_at_benchmark">'Assumptions Log'!$D$16</definedName>
    <definedName name="bull_efficiency_to_emissions_pass_through">'Assumptions Log'!$D$21</definedName>
    <definedName name="bull_ndc_conditional_reduction">'Assumptions Log'!$D$18</definedName>
    <definedName name="bull_ndc_unconditional_reduction">'Assumptions Log'!$D$17</definedName>
    <definedName name="bull_pilot_annual_emissions_quota">'Assumptions Log'!$D$19</definedName>
    <definedName name="bull_price_response_exponent">'Assumptions Log'!$D$20</definedName>
    <definedName name="bull_recycling_gdp_offset_at_threshold">'Assumptions Log'!$D$22</definedName>
    <definedName name="bull_reference_nominal_gdp">'Assumptions Log'!$D$6</definedName>
    <definedName name="bull_revenue_recycling_threshold">'Assumptions Log'!$D$13</definedName>
    <definedName name="just_transition_base_carbon_gdp_drag_pct">'Revenue Build-Up'!$Y$11</definedName>
    <definedName name="just_transition_base_efficiency_gdp_benefit_pct">'Revenue Build-Up'!$Z$11</definedName>
    <definedName name="just_transition_base_emissions_reduction_mt">'Revenue Build-Up'!$R$11</definedName>
    <definedName name="just_transition_base_emissions_reduction_pct">'Revenue Build-Up'!$Q$11</definedName>
    <definedName name="just_transition_base_fiscal_revenue_per_t_abated">'Revenue Build-Up'!$AI$11</definedName>
    <definedName name="just_transition_base_government_revenue_index_pct">'Revenue Build-Up'!$AF$11</definedName>
    <definedName name="just_transition_base_gross_fiscal_revenue_bn">'Revenue Build-Up'!$U$11</definedName>
    <definedName name="just_transition_base_household_compensation_pct">'Revenue Build-Up'!$AG$11</definedName>
    <definedName name="just_transition_base_investment_impact_pct">'Revenue Build-Up'!$AE$11</definedName>
    <definedName name="just_transition_base_ndc_progress_pct">'Revenue Build-Up'!$AH$11</definedName>
    <definedName name="just_transition_base_net_budget_revenue_bn">'Revenue Build-Up'!$X$11</definedName>
    <definedName name="just_transition_base_net_fiscal_revenue_bn">'Revenue Build-Up'!$V$11</definedName>
    <definedName name="just_transition_base_net_gdp_impact_bn">'Revenue Build-Up'!$AC$11</definedName>
    <definedName name="just_transition_base_net_gdp_impact_pct">'Revenue Build-Up'!$AB$11</definedName>
    <definedName name="just_transition_base_recycled_revenue_bn">'Revenue Build-Up'!$W$11</definedName>
    <definedName name="just_transition_base_recycling_gdp_offset_pct">'Revenue Build-Up'!$AA$11</definedName>
    <definedName name="just_transition_base_residual_emissions_mt">'Revenue Build-Up'!$S$11</definedName>
    <definedName name="just_transition_base_trade_impact_pct">'Revenue Build-Up'!$AD$11</definedName>
    <definedName name="just_transition_bear_emissions_reduction_mt">'Revenue Build-Up'!$R$13</definedName>
    <definedName name="just_transition_bear_emissions_reduction_pct">'Revenue Build-Up'!$Q$13</definedName>
    <definedName name="just_transition_bear_fiscal_revenue_per_t_abated">'Revenue Build-Up'!$AI$13</definedName>
    <definedName name="just_transition_bear_government_revenue_index_pct">'Revenue Build-Up'!$AF$13</definedName>
    <definedName name="just_transition_bear_gross_fiscal_revenue_bn">'Revenue Build-Up'!$U$13</definedName>
    <definedName name="just_transition_bear_household_compensation_pct">'Revenue Build-Up'!$AG$13</definedName>
    <definedName name="just_transition_bear_investment_impact_pct">'Revenue Build-Up'!$AE$13</definedName>
    <definedName name="just_transition_bear_ndc_progress_pct">'Revenue Build-Up'!$AH$13</definedName>
    <definedName name="just_transition_bear_net_budget_revenue_bn">'Revenue Build-Up'!$X$13</definedName>
    <definedName name="just_transition_bear_net_fiscal_revenue_bn">'Revenue Build-Up'!$V$13</definedName>
    <definedName name="just_transition_bear_net_gdp_impact_bn">'Revenue Build-Up'!$AC$13</definedName>
    <definedName name="just_transition_bear_net_gdp_impact_pct">'Revenue Build-Up'!$AB$13</definedName>
    <definedName name="just_transition_bear_recycled_revenue_bn">'Revenue Build-Up'!$W$13</definedName>
    <definedName name="just_transition_bear_residual_emissions_mt">'Revenue Build-Up'!$S$13</definedName>
    <definedName name="just_transition_bear_trade_impact_pct">'Revenue Build-Up'!$AD$13</definedName>
    <definedName name="just_transition_bull_emissions_reduction_mt">'Revenue Build-Up'!$R$12</definedName>
    <definedName name="just_transition_bull_emissions_reduction_pct">'Revenue Build-Up'!$Q$12</definedName>
    <definedName name="just_transition_bull_fiscal_revenue_per_t_abated">'Revenue Build-Up'!$AI$12</definedName>
    <definedName name="just_transition_bull_government_revenue_index_pct">'Revenue Build-Up'!$AF$12</definedName>
    <definedName name="just_transition_bull_gross_fiscal_revenue_bn">'Revenue Build-Up'!$U$12</definedName>
    <definedName name="just_transition_bull_household_compensation_pct">'Revenue Build-Up'!$AG$12</definedName>
    <definedName name="just_transition_bull_investment_impact_pct">'Revenue Build-Up'!$AE$12</definedName>
    <definedName name="just_transition_bull_ndc_progress_pct">'Revenue Build-Up'!$AH$12</definedName>
    <definedName name="just_transition_bull_net_budget_revenue_bn">'Revenue Build-Up'!$X$12</definedName>
    <definedName name="just_transition_bull_net_fiscal_revenue_bn">'Revenue Build-Up'!$V$12</definedName>
    <definedName name="just_transition_bull_net_gdp_impact_bn">'Revenue Build-Up'!$AC$12</definedName>
    <definedName name="just_transition_bull_net_gdp_impact_pct">'Revenue Build-Up'!$AB$12</definedName>
    <definedName name="just_transition_bull_recycled_revenue_bn">'Revenue Build-Up'!$W$12</definedName>
    <definedName name="just_transition_bull_residual_emissions_mt">'Revenue Build-Up'!$S$12</definedName>
    <definedName name="just_transition_bull_trade_impact_pct">'Revenue Build-Up'!$AD$12</definedName>
    <definedName name="just_transition_collection">'Scenario Comparison'!$G$7</definedName>
    <definedName name="just_transition_coverage">'Scenario Comparison'!$C$7</definedName>
    <definedName name="just_transition_efficiency">'Scenario Comparison'!$F$7</definedName>
    <definedName name="just_transition_exemption">'Scenario Comparison'!$D$7</definedName>
    <definedName name="just_transition_feasibility">'Scenario Comparison'!$I$7</definedName>
    <definedName name="just_transition_leakage">'Scenario Comparison'!$H$7</definedName>
    <definedName name="just_transition_price">'Scenario Comparison'!$B$7</definedName>
    <definedName name="just_transition_recycling">'Scenario Comparison'!$E$7</definedName>
    <definedName name="pilot_ets_base_carbon_gdp_drag_pct">'Revenue Build-Up'!$Y$5</definedName>
    <definedName name="pilot_ets_base_efficiency_gdp_benefit_pct">'Revenue Build-Up'!$Z$5</definedName>
    <definedName name="pilot_ets_base_emissions_reduction_mt">'Revenue Build-Up'!$R$5</definedName>
    <definedName name="pilot_ets_base_emissions_reduction_pct">'Revenue Build-Up'!$Q$5</definedName>
    <definedName name="pilot_ets_base_fiscal_revenue_per_t_abated">'Revenue Build-Up'!$AI$5</definedName>
    <definedName name="pilot_ets_base_government_revenue_index_pct">'Revenue Build-Up'!$AF$5</definedName>
    <definedName name="pilot_ets_base_gross_fiscal_revenue_bn">'Revenue Build-Up'!$U$5</definedName>
    <definedName name="pilot_ets_base_household_compensation_pct">'Revenue Build-Up'!$AG$5</definedName>
    <definedName name="pilot_ets_base_investment_impact_pct">'Revenue Build-Up'!$AE$5</definedName>
    <definedName name="pilot_ets_base_ndc_progress_pct">'Revenue Build-Up'!$AH$5</definedName>
    <definedName name="pilot_ets_base_net_budget_revenue_bn">'Revenue Build-Up'!$X$5</definedName>
    <definedName name="pilot_ets_base_net_fiscal_revenue_bn">'Revenue Build-Up'!$V$5</definedName>
    <definedName name="pilot_ets_base_net_gdp_impact_bn">'Revenue Build-Up'!$AC$5</definedName>
    <definedName name="pilot_ets_base_net_gdp_impact_pct">'Revenue Build-Up'!$AB$5</definedName>
    <definedName name="pilot_ets_base_recycled_revenue_bn">'Revenue Build-Up'!$W$5</definedName>
    <definedName name="pilot_ets_base_recycling_gdp_offset_pct">'Revenue Build-Up'!$AA$5</definedName>
    <definedName name="pilot_ets_base_residual_emissions_mt">'Revenue Build-Up'!$S$5</definedName>
    <definedName name="pilot_ets_base_trade_impact_pct">'Revenue Build-Up'!$AD$5</definedName>
    <definedName name="pilot_ets_bear_emissions_reduction_mt">'Revenue Build-Up'!$R$7</definedName>
    <definedName name="pilot_ets_bear_emissions_reduction_pct">'Revenue Build-Up'!$Q$7</definedName>
    <definedName name="pilot_ets_bear_fiscal_revenue_per_t_abated">'Revenue Build-Up'!$AI$7</definedName>
    <definedName name="pilot_ets_bear_government_revenue_index_pct">'Revenue Build-Up'!$AF$7</definedName>
    <definedName name="pilot_ets_bear_gross_fiscal_revenue_bn">'Revenue Build-Up'!$U$7</definedName>
    <definedName name="pilot_ets_bear_household_compensation_pct">'Revenue Build-Up'!$AG$7</definedName>
    <definedName name="pilot_ets_bear_investment_impact_pct">'Revenue Build-Up'!$AE$7</definedName>
    <definedName name="pilot_ets_bear_ndc_progress_pct">'Revenue Build-Up'!$AH$7</definedName>
    <definedName name="pilot_ets_bear_net_budget_revenue_bn">'Revenue Build-Up'!$X$7</definedName>
    <definedName name="pilot_ets_bear_net_fiscal_revenue_bn">'Revenue Build-Up'!$V$7</definedName>
    <definedName name="pilot_ets_bear_net_gdp_impact_bn">'Revenue Build-Up'!$AC$7</definedName>
    <definedName name="pilot_ets_bear_net_gdp_impact_pct">'Revenue Build-Up'!$AB$7</definedName>
    <definedName name="pilot_ets_bear_recycled_revenue_bn">'Revenue Build-Up'!$W$7</definedName>
    <definedName name="pilot_ets_bear_residual_emissions_mt">'Revenue Build-Up'!$S$7</definedName>
    <definedName name="pilot_ets_bear_trade_impact_pct">'Revenue Build-Up'!$AD$7</definedName>
    <definedName name="pilot_ets_bull_emissions_reduction_mt">'Revenue Build-Up'!$R$6</definedName>
    <definedName name="pilot_ets_bull_emissions_reduction_pct">'Revenue Build-Up'!$Q$6</definedName>
    <definedName name="pilot_ets_bull_fiscal_revenue_per_t_abated">'Revenue Build-Up'!$AI$6</definedName>
    <definedName name="pilot_ets_bull_government_revenue_index_pct">'Revenue Build-Up'!$AF$6</definedName>
    <definedName name="pilot_ets_bull_gross_fiscal_revenue_bn">'Revenue Build-Up'!$U$6</definedName>
    <definedName name="pilot_ets_bull_household_compensation_pct">'Revenue Build-Up'!$AG$6</definedName>
    <definedName name="pilot_ets_bull_investment_impact_pct">'Revenue Build-Up'!$AE$6</definedName>
    <definedName name="pilot_ets_bull_ndc_progress_pct">'Revenue Build-Up'!$AH$6</definedName>
    <definedName name="pilot_ets_bull_net_budget_revenue_bn">'Revenue Build-Up'!$X$6</definedName>
    <definedName name="pilot_ets_bull_net_fiscal_revenue_bn">'Revenue Build-Up'!$V$6</definedName>
    <definedName name="pilot_ets_bull_net_gdp_impact_bn">'Revenue Build-Up'!$AC$6</definedName>
    <definedName name="pilot_ets_bull_net_gdp_impact_pct">'Revenue Build-Up'!$AB$6</definedName>
    <definedName name="pilot_ets_bull_recycled_revenue_bn">'Revenue Build-Up'!$W$6</definedName>
    <definedName name="pilot_ets_bull_residual_emissions_mt">'Revenue Build-Up'!$S$6</definedName>
    <definedName name="pilot_ets_bull_trade_impact_pct">'Revenue Build-Up'!$AD$6</definedName>
    <definedName name="pilot_ets_collection">'Scenario Comparison'!$G$5</definedName>
    <definedName name="pilot_ets_coverage">'Scenario Comparison'!$C$5</definedName>
    <definedName name="pilot_ets_efficiency">'Scenario Comparison'!$F$5</definedName>
    <definedName name="pilot_ets_exemption">'Scenario Comparison'!$D$5</definedName>
    <definedName name="pilot_ets_feasibility">'Scenario Comparison'!$I$5</definedName>
    <definedName name="pilot_ets_leakage">'Scenario Comparison'!$H$5</definedName>
    <definedName name="pilot_ets_price">'Scenario Comparison'!$B$5</definedName>
    <definedName name="pilot_ets_recycling">'Scenario Comparison'!$E$5</definedName>
    <definedName name="_xlnm.Print_Area" localSheetId="0">Cover!$A$1:$C$16</definedName>
    <definedName name="_xlnm.Print_Area" localSheetId="3">'Decision Matrix'!$A$1:$H$14</definedName>
    <definedName name="_xlnm.Print_Area" localSheetId="1">'Executive Summary'!$A$1:$L$26</definedName>
    <definedName name="_xlnm.Print_Area" localSheetId="2">'Scenario Comparison'!$A$1:$Q$18</definedName>
    <definedName name="protected_industry_base_carbon_gdp_drag_pct">'Revenue Build-Up'!$Y$14</definedName>
    <definedName name="protected_industry_base_efficiency_gdp_benefit_pct">'Revenue Build-Up'!$Z$14</definedName>
    <definedName name="protected_industry_base_emissions_reduction_mt">'Revenue Build-Up'!$R$14</definedName>
    <definedName name="protected_industry_base_emissions_reduction_pct">'Revenue Build-Up'!$Q$14</definedName>
    <definedName name="protected_industry_base_fiscal_revenue_per_t_abated">'Revenue Build-Up'!$AI$14</definedName>
    <definedName name="protected_industry_base_government_revenue_index_pct">'Revenue Build-Up'!$AF$14</definedName>
    <definedName name="protected_industry_base_gross_fiscal_revenue_bn">'Revenue Build-Up'!$U$14</definedName>
    <definedName name="protected_industry_base_household_compensation_pct">'Revenue Build-Up'!$AG$14</definedName>
    <definedName name="protected_industry_base_investment_impact_pct">'Revenue Build-Up'!$AE$14</definedName>
    <definedName name="protected_industry_base_ndc_progress_pct">'Revenue Build-Up'!$AH$14</definedName>
    <definedName name="protected_industry_base_net_budget_revenue_bn">'Revenue Build-Up'!$X$14</definedName>
    <definedName name="protected_industry_base_net_fiscal_revenue_bn">'Revenue Build-Up'!$V$14</definedName>
    <definedName name="protected_industry_base_net_gdp_impact_bn">'Revenue Build-Up'!$AC$14</definedName>
    <definedName name="protected_industry_base_net_gdp_impact_pct">'Revenue Build-Up'!$AB$14</definedName>
    <definedName name="protected_industry_base_recycled_revenue_bn">'Revenue Build-Up'!$W$14</definedName>
    <definedName name="protected_industry_base_recycling_gdp_offset_pct">'Revenue Build-Up'!$AA$14</definedName>
    <definedName name="protected_industry_base_residual_emissions_mt">'Revenue Build-Up'!$S$14</definedName>
    <definedName name="protected_industry_base_trade_impact_pct">'Revenue Build-Up'!$AD$14</definedName>
    <definedName name="protected_industry_bear_emissions_reduction_mt">'Revenue Build-Up'!$R$16</definedName>
    <definedName name="protected_industry_bear_emissions_reduction_pct">'Revenue Build-Up'!$Q$16</definedName>
    <definedName name="protected_industry_bear_fiscal_revenue_per_t_abated">'Revenue Build-Up'!$AI$16</definedName>
    <definedName name="protected_industry_bear_government_revenue_index_pct">'Revenue Build-Up'!$AF$16</definedName>
    <definedName name="protected_industry_bear_gross_fiscal_revenue_bn">'Revenue Build-Up'!$U$16</definedName>
    <definedName name="protected_industry_bear_household_compensation_pct">'Revenue Build-Up'!$AG$16</definedName>
    <definedName name="protected_industry_bear_investment_impact_pct">'Revenue Build-Up'!$AE$16</definedName>
    <definedName name="protected_industry_bear_ndc_progress_pct">'Revenue Build-Up'!$AH$16</definedName>
    <definedName name="protected_industry_bear_net_budget_revenue_bn">'Revenue Build-Up'!$X$16</definedName>
    <definedName name="protected_industry_bear_net_fiscal_revenue_bn">'Revenue Build-Up'!$V$16</definedName>
    <definedName name="protected_industry_bear_net_gdp_impact_bn">'Revenue Build-Up'!$AC$16</definedName>
    <definedName name="protected_industry_bear_net_gdp_impact_pct">'Revenue Build-Up'!$AB$16</definedName>
    <definedName name="protected_industry_bear_recycled_revenue_bn">'Revenue Build-Up'!$W$16</definedName>
    <definedName name="protected_industry_bear_residual_emissions_mt">'Revenue Build-Up'!$S$16</definedName>
    <definedName name="protected_industry_bear_trade_impact_pct">'Revenue Build-Up'!$AD$16</definedName>
    <definedName name="protected_industry_bull_emissions_reduction_mt">'Revenue Build-Up'!$R$15</definedName>
    <definedName name="protected_industry_bull_emissions_reduction_pct">'Revenue Build-Up'!$Q$15</definedName>
    <definedName name="protected_industry_bull_fiscal_revenue_per_t_abated">'Revenue Build-Up'!$AI$15</definedName>
    <definedName name="protected_industry_bull_government_revenue_index_pct">'Revenue Build-Up'!$AF$15</definedName>
    <definedName name="protected_industry_bull_gross_fiscal_revenue_bn">'Revenue Build-Up'!$U$15</definedName>
    <definedName name="protected_industry_bull_household_compensation_pct">'Revenue Build-Up'!$AG$15</definedName>
    <definedName name="protected_industry_bull_investment_impact_pct">'Revenue Build-Up'!$AE$15</definedName>
    <definedName name="protected_industry_bull_ndc_progress_pct">'Revenue Build-Up'!$AH$15</definedName>
    <definedName name="protected_industry_bull_net_budget_revenue_bn">'Revenue Build-Up'!$X$15</definedName>
    <definedName name="protected_industry_bull_net_fiscal_revenue_bn">'Revenue Build-Up'!$V$15</definedName>
    <definedName name="protected_industry_bull_net_gdp_impact_bn">'Revenue Build-Up'!$AC$15</definedName>
    <definedName name="protected_industry_bull_net_gdp_impact_pct">'Revenue Build-Up'!$AB$15</definedName>
    <definedName name="protected_industry_bull_recycled_revenue_bn">'Revenue Build-Up'!$W$15</definedName>
    <definedName name="protected_industry_bull_residual_emissions_mt">'Revenue Build-Up'!$S$15</definedName>
    <definedName name="protected_industry_bull_trade_impact_pct">'Revenue Build-Up'!$AD$15</definedName>
    <definedName name="protected_industry_collection">'Scenario Comparison'!$G$8</definedName>
    <definedName name="protected_industry_coverage">'Scenario Comparison'!$C$8</definedName>
    <definedName name="protected_industry_efficiency">'Scenario Comparison'!$F$8</definedName>
    <definedName name="protected_industry_exemption">'Scenario Comparison'!$D$8</definedName>
    <definedName name="protected_industry_feasibility">'Scenario Comparison'!$I$8</definedName>
    <definedName name="protected_industry_leakage">'Scenario Comparison'!$H$8</definedName>
    <definedName name="protected_industry_price">'Scenario Comparison'!$B$8</definedName>
    <definedName name="protected_industry_recycling">'Scenario Comparison'!$E$8</definedName>
    <definedName name="scenario_base_efficiency_realization">'Assumptions Log'!$D$27</definedName>
    <definedName name="scenario_base_gdp_drag_multiplier">'Assumptions Log'!$C$27</definedName>
    <definedName name="scenario_base_probability">'Assumptions Log'!$E$27</definedName>
    <definedName name="scenario_base_response_multiplier">'Assumptions Log'!$B$27</definedName>
    <definedName name="scenario_bear_efficiency_realization">'Assumptions Log'!$D$29</definedName>
    <definedName name="scenario_bear_gdp_drag_multiplier">'Assumptions Log'!$C$29</definedName>
    <definedName name="scenario_bear_probability">'Assumptions Log'!$E$29</definedName>
    <definedName name="scenario_bear_response_multiplier">'Assumptions Log'!$B$29</definedName>
    <definedName name="scenario_bull_efficiency_realization">'Assumptions Log'!$D$28</definedName>
    <definedName name="scenario_bull_gdp_drag_multiplier">'Assumptions Log'!$C$28</definedName>
    <definedName name="scenario_bull_probability">'Assumptions Log'!$E$28</definedName>
    <definedName name="scenario_bull_response_multiplier">'Assumptions Log'!$B$28</definedName>
    <definedName name="tax_only_base_carbon_gdp_drag_pct">'Revenue Build-Up'!$Y$8</definedName>
    <definedName name="tax_only_base_efficiency_gdp_benefit_pct">'Revenue Build-Up'!$Z$8</definedName>
    <definedName name="tax_only_base_emissions_reduction_mt">'Revenue Build-Up'!$R$8</definedName>
    <definedName name="tax_only_base_emissions_reduction_pct">'Revenue Build-Up'!$Q$8</definedName>
    <definedName name="tax_only_base_fiscal_revenue_per_t_abated">'Revenue Build-Up'!$AI$8</definedName>
    <definedName name="tax_only_base_government_revenue_index_pct">'Revenue Build-Up'!$AF$8</definedName>
    <definedName name="tax_only_base_gross_fiscal_revenue_bn">'Revenue Build-Up'!$U$8</definedName>
    <definedName name="tax_only_base_household_compensation_pct">'Revenue Build-Up'!$AG$8</definedName>
    <definedName name="tax_only_base_investment_impact_pct">'Revenue Build-Up'!$AE$8</definedName>
    <definedName name="tax_only_base_ndc_progress_pct">'Revenue Build-Up'!$AH$8</definedName>
    <definedName name="tax_only_base_net_budget_revenue_bn">'Revenue Build-Up'!$X$8</definedName>
    <definedName name="tax_only_base_net_fiscal_revenue_bn">'Revenue Build-Up'!$V$8</definedName>
    <definedName name="tax_only_base_net_gdp_impact_bn">'Revenue Build-Up'!$AC$8</definedName>
    <definedName name="tax_only_base_net_gdp_impact_pct">'Revenue Build-Up'!$AB$8</definedName>
    <definedName name="tax_only_base_recycled_revenue_bn">'Revenue Build-Up'!$W$8</definedName>
    <definedName name="tax_only_base_recycling_gdp_offset_pct">'Revenue Build-Up'!$AA$8</definedName>
    <definedName name="tax_only_base_residual_emissions_mt">'Revenue Build-Up'!$S$8</definedName>
    <definedName name="tax_only_base_trade_impact_pct">'Revenue Build-Up'!$AD$8</definedName>
    <definedName name="tax_only_bear_emissions_reduction_mt">'Revenue Build-Up'!$R$10</definedName>
    <definedName name="tax_only_bear_emissions_reduction_pct">'Revenue Build-Up'!$Q$10</definedName>
    <definedName name="tax_only_bear_fiscal_revenue_per_t_abated">'Revenue Build-Up'!$AI$10</definedName>
    <definedName name="tax_only_bear_government_revenue_index_pct">'Revenue Build-Up'!$AF$10</definedName>
    <definedName name="tax_only_bear_gross_fiscal_revenue_bn">'Revenue Build-Up'!$U$10</definedName>
    <definedName name="tax_only_bear_household_compensation_pct">'Revenue Build-Up'!$AG$10</definedName>
    <definedName name="tax_only_bear_investment_impact_pct">'Revenue Build-Up'!$AE$10</definedName>
    <definedName name="tax_only_bear_ndc_progress_pct">'Revenue Build-Up'!$AH$10</definedName>
    <definedName name="tax_only_bear_net_budget_revenue_bn">'Revenue Build-Up'!$X$10</definedName>
    <definedName name="tax_only_bear_net_fiscal_revenue_bn">'Revenue Build-Up'!$V$10</definedName>
    <definedName name="tax_only_bear_net_gdp_impact_bn">'Revenue Build-Up'!$AC$10</definedName>
    <definedName name="tax_only_bear_net_gdp_impact_pct">'Revenue Build-Up'!$AB$10</definedName>
    <definedName name="tax_only_bear_recycled_revenue_bn">'Revenue Build-Up'!$W$10</definedName>
    <definedName name="tax_only_bear_residual_emissions_mt">'Revenue Build-Up'!$S$10</definedName>
    <definedName name="tax_only_bear_trade_impact_pct">'Revenue Build-Up'!$AD$10</definedName>
    <definedName name="tax_only_bull_emissions_reduction_mt">'Revenue Build-Up'!$R$9</definedName>
    <definedName name="tax_only_bull_emissions_reduction_pct">'Revenue Build-Up'!$Q$9</definedName>
    <definedName name="tax_only_bull_fiscal_revenue_per_t_abated">'Revenue Build-Up'!$AI$9</definedName>
    <definedName name="tax_only_bull_government_revenue_index_pct">'Revenue Build-Up'!$AF$9</definedName>
    <definedName name="tax_only_bull_gross_fiscal_revenue_bn">'Revenue Build-Up'!$U$9</definedName>
    <definedName name="tax_only_bull_household_compensation_pct">'Revenue Build-Up'!$AG$9</definedName>
    <definedName name="tax_only_bull_investment_impact_pct">'Revenue Build-Up'!$AE$9</definedName>
    <definedName name="tax_only_bull_ndc_progress_pct">'Revenue Build-Up'!$AH$9</definedName>
    <definedName name="tax_only_bull_net_budget_revenue_bn">'Revenue Build-Up'!$X$9</definedName>
    <definedName name="tax_only_bull_net_fiscal_revenue_bn">'Revenue Build-Up'!$V$9</definedName>
    <definedName name="tax_only_bull_net_gdp_impact_bn">'Revenue Build-Up'!$AC$9</definedName>
    <definedName name="tax_only_bull_net_gdp_impact_pct">'Revenue Build-Up'!$AB$9</definedName>
    <definedName name="tax_only_bull_recycled_revenue_bn">'Revenue Build-Up'!$W$9</definedName>
    <definedName name="tax_only_bull_residual_emissions_mt">'Revenue Build-Up'!$S$9</definedName>
    <definedName name="tax_only_bull_trade_impact_pct">'Revenue Build-Up'!$AD$9</definedName>
    <definedName name="tax_only_collection">'Scenario Comparison'!$G$6</definedName>
    <definedName name="tax_only_coverage">'Scenario Comparison'!$C$6</definedName>
    <definedName name="tax_only_efficiency">'Scenario Comparison'!$F$6</definedName>
    <definedName name="tax_only_exemption">'Scenario Comparison'!$D$6</definedName>
    <definedName name="tax_only_feasibility">'Scenario Comparison'!$I$6</definedName>
    <definedName name="tax_only_leakage">'Scenario Comparison'!$H$6</definedName>
    <definedName name="tax_only_price">'Scenario Comparison'!$B$6</definedName>
    <definedName name="tax_only_recycling">'Scenario Comparison'!$E$6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0" i="13" l="1"/>
  <c r="E8" i="13"/>
  <c r="C8" i="13"/>
  <c r="E7" i="13"/>
  <c r="C7" i="13"/>
  <c r="E6" i="13"/>
  <c r="C6" i="13"/>
  <c r="E5" i="13"/>
  <c r="C5" i="13"/>
  <c r="C10" i="13" s="1"/>
  <c r="I32" i="10"/>
  <c r="G32" i="10"/>
  <c r="F32" i="10"/>
  <c r="E32" i="10"/>
  <c r="D32" i="10"/>
  <c r="J32" i="10" s="1"/>
  <c r="C32" i="10"/>
  <c r="B32" i="10"/>
  <c r="H32" i="10" s="1"/>
  <c r="D31" i="10"/>
  <c r="C31" i="10"/>
  <c r="I31" i="10" s="1"/>
  <c r="B31" i="10"/>
  <c r="H31" i="10" s="1"/>
  <c r="J30" i="10"/>
  <c r="I30" i="10"/>
  <c r="H30" i="10"/>
  <c r="D30" i="10"/>
  <c r="G30" i="10" s="1"/>
  <c r="C30" i="10"/>
  <c r="F30" i="10" s="1"/>
  <c r="B30" i="10"/>
  <c r="E30" i="10" s="1"/>
  <c r="J29" i="10"/>
  <c r="I29" i="10"/>
  <c r="H29" i="10"/>
  <c r="D29" i="10"/>
  <c r="G29" i="10" s="1"/>
  <c r="C29" i="10"/>
  <c r="F29" i="10" s="1"/>
  <c r="B29" i="10"/>
  <c r="E29" i="10" s="1"/>
  <c r="D28" i="10"/>
  <c r="C28" i="10"/>
  <c r="B28" i="10"/>
  <c r="H28" i="10" s="1"/>
  <c r="D27" i="10"/>
  <c r="J27" i="10" s="1"/>
  <c r="C27" i="10"/>
  <c r="F27" i="10" s="1"/>
  <c r="B27" i="10"/>
  <c r="H27" i="10" s="1"/>
  <c r="F22" i="10"/>
  <c r="E22" i="10"/>
  <c r="D22" i="10"/>
  <c r="C22" i="10"/>
  <c r="B22" i="10"/>
  <c r="F21" i="10"/>
  <c r="E21" i="10"/>
  <c r="D21" i="10"/>
  <c r="C21" i="10"/>
  <c r="B21" i="10"/>
  <c r="F20" i="10"/>
  <c r="E20" i="10"/>
  <c r="D20" i="10"/>
  <c r="C20" i="10"/>
  <c r="B20" i="10"/>
  <c r="F19" i="10"/>
  <c r="E19" i="10"/>
  <c r="D19" i="10"/>
  <c r="C19" i="10"/>
  <c r="B19" i="10"/>
  <c r="F18" i="10"/>
  <c r="E18" i="10"/>
  <c r="D18" i="10"/>
  <c r="C18" i="10"/>
  <c r="B18" i="10"/>
  <c r="F17" i="10"/>
  <c r="E17" i="10"/>
  <c r="D17" i="10"/>
  <c r="C17" i="10"/>
  <c r="B17" i="10"/>
  <c r="D12" i="10"/>
  <c r="B12" i="10"/>
  <c r="C12" i="10" s="1"/>
  <c r="D11" i="10"/>
  <c r="B11" i="10"/>
  <c r="E11" i="10" s="1"/>
  <c r="D10" i="10"/>
  <c r="B10" i="10"/>
  <c r="E10" i="10" s="1"/>
  <c r="D9" i="10"/>
  <c r="B9" i="10"/>
  <c r="E9" i="10" s="1"/>
  <c r="D8" i="10"/>
  <c r="B8" i="10"/>
  <c r="E8" i="10" s="1"/>
  <c r="D7" i="10"/>
  <c r="B7" i="10"/>
  <c r="C7" i="10" s="1"/>
  <c r="D6" i="10"/>
  <c r="B6" i="10"/>
  <c r="B15" i="9"/>
  <c r="B14" i="9"/>
  <c r="B13" i="9"/>
  <c r="B15" i="7"/>
  <c r="B14" i="7"/>
  <c r="L19" i="6"/>
  <c r="K19" i="6"/>
  <c r="J19" i="6"/>
  <c r="I19" i="6"/>
  <c r="H19" i="6"/>
  <c r="G19" i="6"/>
  <c r="F19" i="6"/>
  <c r="AG19" i="6" s="1"/>
  <c r="E19" i="6"/>
  <c r="D19" i="6"/>
  <c r="C19" i="6"/>
  <c r="L18" i="6"/>
  <c r="K18" i="6"/>
  <c r="J18" i="6"/>
  <c r="I18" i="6"/>
  <c r="H18" i="6"/>
  <c r="G18" i="6"/>
  <c r="Z18" i="6" s="1"/>
  <c r="F18" i="6"/>
  <c r="AG18" i="6" s="1"/>
  <c r="E18" i="6"/>
  <c r="D18" i="6"/>
  <c r="M18" i="6" s="1"/>
  <c r="AD18" i="6" s="1"/>
  <c r="C18" i="6"/>
  <c r="L17" i="6"/>
  <c r="K17" i="6"/>
  <c r="J17" i="6"/>
  <c r="I17" i="6"/>
  <c r="H17" i="6"/>
  <c r="G17" i="6"/>
  <c r="F17" i="6"/>
  <c r="AG17" i="6" s="1"/>
  <c r="E17" i="6"/>
  <c r="D17" i="6"/>
  <c r="C17" i="6"/>
  <c r="AG16" i="6"/>
  <c r="L16" i="6"/>
  <c r="K16" i="6"/>
  <c r="J16" i="6"/>
  <c r="I16" i="6"/>
  <c r="H16" i="6"/>
  <c r="G16" i="6"/>
  <c r="F16" i="6"/>
  <c r="E16" i="6"/>
  <c r="D16" i="6"/>
  <c r="M16" i="6" s="1"/>
  <c r="C16" i="6"/>
  <c r="L15" i="6"/>
  <c r="K15" i="6"/>
  <c r="J15" i="6"/>
  <c r="I15" i="6"/>
  <c r="H15" i="6"/>
  <c r="G15" i="6"/>
  <c r="F15" i="6"/>
  <c r="AG15" i="6" s="1"/>
  <c r="E15" i="6"/>
  <c r="D15" i="6"/>
  <c r="C15" i="6"/>
  <c r="L14" i="6"/>
  <c r="K14" i="6"/>
  <c r="J14" i="6"/>
  <c r="I14" i="6"/>
  <c r="H14" i="6"/>
  <c r="G14" i="6"/>
  <c r="Z14" i="6" s="1"/>
  <c r="E6" i="8" s="1"/>
  <c r="F14" i="6"/>
  <c r="AG14" i="6" s="1"/>
  <c r="O8" i="3" s="1"/>
  <c r="E14" i="6"/>
  <c r="D14" i="6"/>
  <c r="M14" i="6" s="1"/>
  <c r="C14" i="6"/>
  <c r="N14" i="6" s="1"/>
  <c r="L13" i="6"/>
  <c r="K13" i="6"/>
  <c r="J13" i="6"/>
  <c r="I13" i="6"/>
  <c r="H13" i="6"/>
  <c r="G13" i="6"/>
  <c r="F13" i="6"/>
  <c r="AG13" i="6" s="1"/>
  <c r="G16" i="3" s="1"/>
  <c r="E13" i="6"/>
  <c r="D13" i="6"/>
  <c r="C13" i="6"/>
  <c r="AG12" i="6"/>
  <c r="G15" i="3" s="1"/>
  <c r="L12" i="6"/>
  <c r="Z12" i="6" s="1"/>
  <c r="K12" i="6"/>
  <c r="J12" i="6"/>
  <c r="I12" i="6"/>
  <c r="H12" i="6"/>
  <c r="G12" i="6"/>
  <c r="F12" i="6"/>
  <c r="E12" i="6"/>
  <c r="D12" i="6"/>
  <c r="C12" i="6"/>
  <c r="L11" i="6"/>
  <c r="K11" i="6"/>
  <c r="J11" i="6"/>
  <c r="I11" i="6"/>
  <c r="H11" i="6"/>
  <c r="G11" i="6"/>
  <c r="Z11" i="6" s="1"/>
  <c r="D6" i="8" s="1"/>
  <c r="F11" i="6"/>
  <c r="AG11" i="6" s="1"/>
  <c r="O7" i="3" s="1"/>
  <c r="E11" i="6"/>
  <c r="D11" i="6"/>
  <c r="M11" i="6" s="1"/>
  <c r="C11" i="6"/>
  <c r="L10" i="6"/>
  <c r="K10" i="6"/>
  <c r="J10" i="6"/>
  <c r="I10" i="6"/>
  <c r="H10" i="6"/>
  <c r="G10" i="6"/>
  <c r="F10" i="6"/>
  <c r="AG10" i="6" s="1"/>
  <c r="E10" i="6"/>
  <c r="D10" i="6"/>
  <c r="M10" i="6" s="1"/>
  <c r="C10" i="6"/>
  <c r="L9" i="6"/>
  <c r="K9" i="6"/>
  <c r="J9" i="6"/>
  <c r="I9" i="6"/>
  <c r="H9" i="6"/>
  <c r="G9" i="6"/>
  <c r="F9" i="6"/>
  <c r="AG9" i="6" s="1"/>
  <c r="E9" i="6"/>
  <c r="D9" i="6"/>
  <c r="C9" i="6"/>
  <c r="L8" i="6"/>
  <c r="Z8" i="6" s="1"/>
  <c r="C6" i="8" s="1"/>
  <c r="K8" i="6"/>
  <c r="J8" i="6"/>
  <c r="I8" i="6"/>
  <c r="H8" i="6"/>
  <c r="G8" i="6"/>
  <c r="F8" i="6"/>
  <c r="AG8" i="6" s="1"/>
  <c r="C9" i="7" s="1"/>
  <c r="E8" i="6"/>
  <c r="D8" i="6"/>
  <c r="M8" i="6" s="1"/>
  <c r="C8" i="6"/>
  <c r="M7" i="6"/>
  <c r="L7" i="6"/>
  <c r="K7" i="6"/>
  <c r="J7" i="6"/>
  <c r="I7" i="6"/>
  <c r="H7" i="6"/>
  <c r="G7" i="6"/>
  <c r="F7" i="6"/>
  <c r="AG7" i="6" s="1"/>
  <c r="E7" i="6"/>
  <c r="D7" i="6"/>
  <c r="C7" i="6"/>
  <c r="L6" i="6"/>
  <c r="K6" i="6"/>
  <c r="J6" i="6"/>
  <c r="I6" i="6"/>
  <c r="H6" i="6"/>
  <c r="G6" i="6"/>
  <c r="Z6" i="6" s="1"/>
  <c r="F6" i="6"/>
  <c r="AG6" i="6" s="1"/>
  <c r="E6" i="6"/>
  <c r="D6" i="6"/>
  <c r="M6" i="6" s="1"/>
  <c r="C6" i="6"/>
  <c r="L5" i="6"/>
  <c r="K5" i="6"/>
  <c r="J5" i="6"/>
  <c r="I5" i="6"/>
  <c r="H5" i="6"/>
  <c r="G5" i="6"/>
  <c r="F5" i="6"/>
  <c r="AG5" i="6" s="1"/>
  <c r="E5" i="6"/>
  <c r="D5" i="6"/>
  <c r="C5" i="6"/>
  <c r="B11" i="4"/>
  <c r="G9" i="4"/>
  <c r="F9" i="4"/>
  <c r="E9" i="4"/>
  <c r="D9" i="4"/>
  <c r="C9" i="4"/>
  <c r="I16" i="3"/>
  <c r="I15" i="3"/>
  <c r="I14" i="3"/>
  <c r="AD14" i="6" l="1"/>
  <c r="E10" i="8" s="1"/>
  <c r="G27" i="10"/>
  <c r="B16" i="7"/>
  <c r="C11" i="10"/>
  <c r="Z9" i="6"/>
  <c r="D7" i="4"/>
  <c r="AD7" i="6"/>
  <c r="M15" i="6"/>
  <c r="N15" i="6" s="1"/>
  <c r="M19" i="6"/>
  <c r="Y19" i="6" s="1"/>
  <c r="E31" i="10"/>
  <c r="N10" i="6"/>
  <c r="I27" i="10"/>
  <c r="E12" i="10"/>
  <c r="M13" i="6"/>
  <c r="Y13" i="6" s="1"/>
  <c r="F7" i="4"/>
  <c r="Z13" i="6"/>
  <c r="AE18" i="6"/>
  <c r="B9" i="7"/>
  <c r="B18" i="2"/>
  <c r="C7" i="4"/>
  <c r="O5" i="3"/>
  <c r="Y7" i="6"/>
  <c r="Z5" i="6"/>
  <c r="B6" i="8" s="1"/>
  <c r="AF19" i="6"/>
  <c r="Z16" i="6"/>
  <c r="E10" i="13"/>
  <c r="E28" i="10"/>
  <c r="M17" i="6"/>
  <c r="AF17" i="6" s="1"/>
  <c r="F12" i="8" s="1"/>
  <c r="E7" i="10"/>
  <c r="Z19" i="6"/>
  <c r="AF14" i="6"/>
  <c r="E12" i="8" s="1"/>
  <c r="Z15" i="6"/>
  <c r="C18" i="2"/>
  <c r="Z10" i="6"/>
  <c r="E18" i="2"/>
  <c r="Z7" i="6"/>
  <c r="AF11" i="6"/>
  <c r="D12" i="8" s="1"/>
  <c r="Z17" i="6"/>
  <c r="F6" i="8" s="1"/>
  <c r="O6" i="3"/>
  <c r="M5" i="6"/>
  <c r="AD5" i="6" s="1"/>
  <c r="B10" i="8" s="1"/>
  <c r="AA7" i="6"/>
  <c r="AB7" i="6" s="1"/>
  <c r="AC7" i="6" s="1"/>
  <c r="O10" i="6"/>
  <c r="P10" i="6" s="1"/>
  <c r="N6" i="6"/>
  <c r="AF6" i="6"/>
  <c r="AD6" i="6"/>
  <c r="O9" i="3"/>
  <c r="G7" i="4"/>
  <c r="F18" i="2"/>
  <c r="F9" i="7"/>
  <c r="AD16" i="6"/>
  <c r="N16" i="6"/>
  <c r="AF16" i="6"/>
  <c r="Y16" i="6"/>
  <c r="AF13" i="6"/>
  <c r="AE16" i="6"/>
  <c r="Y18" i="6"/>
  <c r="AF18" i="6"/>
  <c r="C6" i="10"/>
  <c r="E6" i="10"/>
  <c r="I28" i="10"/>
  <c r="F28" i="10"/>
  <c r="M9" i="6"/>
  <c r="AD9" i="6" s="1"/>
  <c r="Y9" i="6"/>
  <c r="J28" i="10"/>
  <c r="G28" i="10"/>
  <c r="G31" i="10"/>
  <c r="J31" i="10"/>
  <c r="AE6" i="6"/>
  <c r="G14" i="3"/>
  <c r="D9" i="7"/>
  <c r="M12" i="6"/>
  <c r="AE14" i="6"/>
  <c r="E11" i="8" s="1"/>
  <c r="AE15" i="6"/>
  <c r="N18" i="6"/>
  <c r="AE19" i="6"/>
  <c r="AD11" i="6"/>
  <c r="D10" i="8" s="1"/>
  <c r="AF8" i="6"/>
  <c r="C12" i="8" s="1"/>
  <c r="N8" i="6"/>
  <c r="AD8" i="6"/>
  <c r="C10" i="8" s="1"/>
  <c r="E9" i="7"/>
  <c r="Y10" i="6"/>
  <c r="AD10" i="6"/>
  <c r="O14" i="6"/>
  <c r="P14" i="6" s="1"/>
  <c r="N19" i="6"/>
  <c r="AF10" i="6"/>
  <c r="C9" i="10"/>
  <c r="N7" i="6"/>
  <c r="Y8" i="6"/>
  <c r="AD15" i="6"/>
  <c r="D18" i="2"/>
  <c r="E7" i="4"/>
  <c r="AE7" i="6"/>
  <c r="AE8" i="6"/>
  <c r="C11" i="8" s="1"/>
  <c r="F31" i="10"/>
  <c r="Y11" i="6"/>
  <c r="AF7" i="6"/>
  <c r="AE10" i="6"/>
  <c r="Y14" i="6"/>
  <c r="C10" i="10"/>
  <c r="Y6" i="6"/>
  <c r="N11" i="6"/>
  <c r="E27" i="10"/>
  <c r="AE11" i="6"/>
  <c r="D11" i="8" s="1"/>
  <c r="C8" i="10"/>
  <c r="AE13" i="6" l="1"/>
  <c r="AD13" i="6"/>
  <c r="AD19" i="6"/>
  <c r="N5" i="6"/>
  <c r="O5" i="6" s="1"/>
  <c r="P5" i="6" s="1"/>
  <c r="N13" i="6"/>
  <c r="AF15" i="6"/>
  <c r="Y15" i="6"/>
  <c r="N17" i="6"/>
  <c r="O17" i="6" s="1"/>
  <c r="P17" i="6" s="1"/>
  <c r="Y5" i="6"/>
  <c r="AF5" i="6"/>
  <c r="B12" i="8" s="1"/>
  <c r="Y17" i="6"/>
  <c r="AA17" i="6" s="1"/>
  <c r="F7" i="8" s="1"/>
  <c r="N9" i="6"/>
  <c r="O9" i="6" s="1"/>
  <c r="P9" i="6" s="1"/>
  <c r="Q9" i="6" s="1"/>
  <c r="R9" i="6" s="1"/>
  <c r="AE17" i="6"/>
  <c r="F11" i="8" s="1"/>
  <c r="AE5" i="6"/>
  <c r="B11" i="8" s="1"/>
  <c r="AD17" i="6"/>
  <c r="F10" i="8" s="1"/>
  <c r="Q10" i="6"/>
  <c r="R10" i="6" s="1"/>
  <c r="T10" i="6"/>
  <c r="U10" i="6" s="1"/>
  <c r="V10" i="6" s="1"/>
  <c r="Q14" i="6"/>
  <c r="T14" i="6"/>
  <c r="U14" i="6" s="1"/>
  <c r="O13" i="6"/>
  <c r="P13" i="6" s="1"/>
  <c r="N12" i="6"/>
  <c r="AE12" i="6"/>
  <c r="AD12" i="6"/>
  <c r="AA18" i="6"/>
  <c r="AB18" i="6" s="1"/>
  <c r="AC18" i="6" s="1"/>
  <c r="O16" i="6"/>
  <c r="P16" i="6" s="1"/>
  <c r="O19" i="6"/>
  <c r="P19" i="6" s="1"/>
  <c r="AA16" i="6"/>
  <c r="AB16" i="6" s="1"/>
  <c r="AC16" i="6" s="1"/>
  <c r="O8" i="6"/>
  <c r="P8" i="6"/>
  <c r="Y12" i="6"/>
  <c r="O18" i="6"/>
  <c r="P18" i="6" s="1"/>
  <c r="O6" i="6"/>
  <c r="P6" i="6"/>
  <c r="AA6" i="6"/>
  <c r="AB6" i="6" s="1"/>
  <c r="AC6" i="6" s="1"/>
  <c r="D5" i="8"/>
  <c r="AA11" i="6"/>
  <c r="D7" i="8" s="1"/>
  <c r="O11" i="6"/>
  <c r="P11" i="6"/>
  <c r="AA19" i="6"/>
  <c r="AB19" i="6" s="1"/>
  <c r="AC19" i="6" s="1"/>
  <c r="AF12" i="6"/>
  <c r="E5" i="8"/>
  <c r="AA14" i="6"/>
  <c r="E7" i="8" s="1"/>
  <c r="O7" i="6"/>
  <c r="P7" i="6" s="1"/>
  <c r="AA9" i="6"/>
  <c r="AB9" i="6" s="1"/>
  <c r="AC9" i="6" s="1"/>
  <c r="AA15" i="6"/>
  <c r="AB15" i="6" s="1"/>
  <c r="AC15" i="6" s="1"/>
  <c r="AA13" i="6"/>
  <c r="AB13" i="6" s="1"/>
  <c r="AA10" i="6"/>
  <c r="AB10" i="6" s="1"/>
  <c r="AC10" i="6" s="1"/>
  <c r="C5" i="8"/>
  <c r="AA8" i="6"/>
  <c r="C7" i="8" s="1"/>
  <c r="AE9" i="6"/>
  <c r="AF9" i="6"/>
  <c r="O15" i="6"/>
  <c r="P15" i="6" s="1"/>
  <c r="F5" i="8" l="1"/>
  <c r="AB14" i="6"/>
  <c r="AA5" i="6"/>
  <c r="B5" i="8"/>
  <c r="AB8" i="6"/>
  <c r="AC13" i="6"/>
  <c r="E16" i="3" s="1"/>
  <c r="D16" i="3"/>
  <c r="Q16" i="6"/>
  <c r="R16" i="6" s="1"/>
  <c r="T16" i="6"/>
  <c r="U16" i="6" s="1"/>
  <c r="V16" i="6" s="1"/>
  <c r="Q7" i="6"/>
  <c r="R7" i="6" s="1"/>
  <c r="T7" i="6"/>
  <c r="U7" i="6" s="1"/>
  <c r="V7" i="6" s="1"/>
  <c r="Q13" i="6"/>
  <c r="T13" i="6"/>
  <c r="U13" i="6" s="1"/>
  <c r="V13" i="6" s="1"/>
  <c r="Q17" i="6"/>
  <c r="T17" i="6"/>
  <c r="U17" i="6" s="1"/>
  <c r="Q15" i="6"/>
  <c r="R15" i="6" s="1"/>
  <c r="T15" i="6"/>
  <c r="U15" i="6" s="1"/>
  <c r="V15" i="6" s="1"/>
  <c r="Q18" i="6"/>
  <c r="R18" i="6" s="1"/>
  <c r="T18" i="6"/>
  <c r="U18" i="6" s="1"/>
  <c r="V18" i="6" s="1"/>
  <c r="AA12" i="6"/>
  <c r="AB12" i="6"/>
  <c r="Q5" i="6"/>
  <c r="T5" i="6"/>
  <c r="U5" i="6" s="1"/>
  <c r="T8" i="6"/>
  <c r="U8" i="6" s="1"/>
  <c r="Q8" i="6"/>
  <c r="AB11" i="6"/>
  <c r="T9" i="6"/>
  <c r="U9" i="6" s="1"/>
  <c r="V9" i="6" s="1"/>
  <c r="AI9" i="6" s="1"/>
  <c r="AB17" i="6"/>
  <c r="Q11" i="6"/>
  <c r="T11" i="6"/>
  <c r="U11" i="6" s="1"/>
  <c r="E8" i="8"/>
  <c r="E15" i="2"/>
  <c r="AC14" i="6"/>
  <c r="L8" i="3"/>
  <c r="O12" i="6"/>
  <c r="P12" i="6"/>
  <c r="AH9" i="6"/>
  <c r="S9" i="6"/>
  <c r="Q19" i="6"/>
  <c r="R19" i="6" s="1"/>
  <c r="T19" i="6"/>
  <c r="U19" i="6" s="1"/>
  <c r="V19" i="6" s="1"/>
  <c r="E5" i="7"/>
  <c r="V14" i="6"/>
  <c r="Q6" i="6"/>
  <c r="R6" i="6" s="1"/>
  <c r="T6" i="6"/>
  <c r="U6" i="6" s="1"/>
  <c r="V6" i="6" s="1"/>
  <c r="J8" i="3"/>
  <c r="E13" i="2"/>
  <c r="R14" i="6"/>
  <c r="W10" i="6"/>
  <c r="X10" i="6"/>
  <c r="A6" i="2"/>
  <c r="AC8" i="6"/>
  <c r="L6" i="3"/>
  <c r="C8" i="8"/>
  <c r="C15" i="2"/>
  <c r="S10" i="6"/>
  <c r="AI10" i="6"/>
  <c r="AH10" i="6"/>
  <c r="B7" i="8" l="1"/>
  <c r="AB5" i="6"/>
  <c r="Q12" i="6"/>
  <c r="T12" i="6"/>
  <c r="U12" i="6" s="1"/>
  <c r="V12" i="6" s="1"/>
  <c r="S14" i="6"/>
  <c r="E14" i="2"/>
  <c r="K8" i="3"/>
  <c r="E5" i="9"/>
  <c r="E7" i="9"/>
  <c r="AH14" i="6"/>
  <c r="AI14" i="6"/>
  <c r="R8" i="6"/>
  <c r="A5" i="2" s="1"/>
  <c r="D5" i="4"/>
  <c r="J6" i="3"/>
  <c r="C13" i="2"/>
  <c r="W7" i="6"/>
  <c r="X7" i="6" s="1"/>
  <c r="W19" i="6"/>
  <c r="X19" i="6" s="1"/>
  <c r="AI15" i="6"/>
  <c r="S15" i="6"/>
  <c r="AH15" i="6"/>
  <c r="R17" i="6"/>
  <c r="F13" i="2"/>
  <c r="J9" i="3"/>
  <c r="G5" i="4"/>
  <c r="W9" i="6"/>
  <c r="X9" i="6" s="1"/>
  <c r="B16" i="3"/>
  <c r="R13" i="6"/>
  <c r="E9" i="8"/>
  <c r="E16" i="2"/>
  <c r="M8" i="3"/>
  <c r="V8" i="6"/>
  <c r="C5" i="7"/>
  <c r="AH7" i="6"/>
  <c r="S7" i="6"/>
  <c r="AI7" i="6"/>
  <c r="W6" i="6"/>
  <c r="X6" i="6" s="1"/>
  <c r="B5" i="7"/>
  <c r="V5" i="6"/>
  <c r="F8" i="4" s="1"/>
  <c r="W16" i="6"/>
  <c r="X16" i="6" s="1"/>
  <c r="W18" i="6"/>
  <c r="X18" i="6" s="1"/>
  <c r="C9" i="8"/>
  <c r="M6" i="3"/>
  <c r="C16" i="2"/>
  <c r="AH19" i="6"/>
  <c r="S19" i="6"/>
  <c r="AI19" i="6"/>
  <c r="AI18" i="6"/>
  <c r="AH18" i="6"/>
  <c r="S18" i="6"/>
  <c r="W15" i="6"/>
  <c r="X15" i="6" s="1"/>
  <c r="V17" i="6"/>
  <c r="F5" i="7"/>
  <c r="G6" i="4"/>
  <c r="AC17" i="6"/>
  <c r="F8" i="8"/>
  <c r="F15" i="2"/>
  <c r="L9" i="3"/>
  <c r="F16" i="3"/>
  <c r="W13" i="6"/>
  <c r="X13" i="6" s="1"/>
  <c r="E6" i="4"/>
  <c r="D14" i="3"/>
  <c r="D8" i="8"/>
  <c r="L7" i="3"/>
  <c r="AC11" i="6"/>
  <c r="D15" i="2"/>
  <c r="F5" i="4"/>
  <c r="AI6" i="6"/>
  <c r="AH6" i="6"/>
  <c r="S6" i="6"/>
  <c r="F6" i="4"/>
  <c r="J5" i="3"/>
  <c r="C5" i="4"/>
  <c r="R5" i="6"/>
  <c r="A7" i="2"/>
  <c r="B13" i="2"/>
  <c r="AI16" i="6"/>
  <c r="AH16" i="6"/>
  <c r="S16" i="6"/>
  <c r="N8" i="3"/>
  <c r="E6" i="7"/>
  <c r="E8" i="9"/>
  <c r="W14" i="6"/>
  <c r="E7" i="7" s="1"/>
  <c r="E17" i="2"/>
  <c r="D5" i="7"/>
  <c r="V11" i="6"/>
  <c r="AC12" i="6"/>
  <c r="E15" i="3" s="1"/>
  <c r="D15" i="3"/>
  <c r="R11" i="6"/>
  <c r="E5" i="4"/>
  <c r="D13" i="2"/>
  <c r="J7" i="3"/>
  <c r="B14" i="3"/>
  <c r="B8" i="8" l="1"/>
  <c r="L5" i="3"/>
  <c r="B15" i="2"/>
  <c r="D6" i="4"/>
  <c r="C6" i="4"/>
  <c r="AC5" i="6"/>
  <c r="D17" i="2"/>
  <c r="E8" i="4"/>
  <c r="E11" i="4" s="1"/>
  <c r="D6" i="7"/>
  <c r="D8" i="9"/>
  <c r="N7" i="3"/>
  <c r="F14" i="3"/>
  <c r="W11" i="6"/>
  <c r="X11" i="6"/>
  <c r="D8" i="7" s="1"/>
  <c r="B7" i="9"/>
  <c r="AH5" i="6"/>
  <c r="K5" i="3"/>
  <c r="S5" i="6"/>
  <c r="B5" i="9"/>
  <c r="AI5" i="6"/>
  <c r="B14" i="2"/>
  <c r="C8" i="4"/>
  <c r="B8" i="9"/>
  <c r="B6" i="7"/>
  <c r="B17" i="2"/>
  <c r="W5" i="6"/>
  <c r="B7" i="7" s="1"/>
  <c r="N5" i="3"/>
  <c r="C11" i="4"/>
  <c r="C16" i="3"/>
  <c r="AI13" i="6"/>
  <c r="AH13" i="6"/>
  <c r="H16" i="3" s="1"/>
  <c r="S13" i="6"/>
  <c r="F11" i="4"/>
  <c r="C7" i="9"/>
  <c r="AI8" i="6"/>
  <c r="S8" i="6"/>
  <c r="K6" i="3"/>
  <c r="C5" i="9"/>
  <c r="C14" i="2"/>
  <c r="AH8" i="6"/>
  <c r="E10" i="7"/>
  <c r="Q8" i="3"/>
  <c r="E9" i="9"/>
  <c r="X14" i="6"/>
  <c r="E8" i="7" s="1"/>
  <c r="F5" i="9"/>
  <c r="AH17" i="6"/>
  <c r="K9" i="3"/>
  <c r="F14" i="2"/>
  <c r="F7" i="9"/>
  <c r="S17" i="6"/>
  <c r="AI17" i="6"/>
  <c r="E6" i="9"/>
  <c r="P8" i="3"/>
  <c r="E19" i="2"/>
  <c r="F16" i="2"/>
  <c r="M9" i="3"/>
  <c r="F9" i="8"/>
  <c r="C17" i="2"/>
  <c r="D8" i="4"/>
  <c r="D11" i="4" s="1"/>
  <c r="C8" i="9"/>
  <c r="C6" i="7"/>
  <c r="W8" i="6"/>
  <c r="C7" i="7" s="1"/>
  <c r="N6" i="3"/>
  <c r="D9" i="8"/>
  <c r="E14" i="3"/>
  <c r="D16" i="2"/>
  <c r="M7" i="3"/>
  <c r="F17" i="2"/>
  <c r="F8" i="9"/>
  <c r="W17" i="6"/>
  <c r="F7" i="7" s="1"/>
  <c r="N9" i="3"/>
  <c r="F6" i="7"/>
  <c r="G8" i="4"/>
  <c r="G11" i="4" s="1"/>
  <c r="AH11" i="6"/>
  <c r="K7" i="3"/>
  <c r="D14" i="2"/>
  <c r="F6" i="13"/>
  <c r="G6" i="13" s="1"/>
  <c r="H6" i="13" s="1"/>
  <c r="F5" i="13"/>
  <c r="F8" i="13"/>
  <c r="G8" i="13" s="1"/>
  <c r="H8" i="13" s="1"/>
  <c r="D5" i="9"/>
  <c r="D7" i="9"/>
  <c r="AI11" i="6"/>
  <c r="C14" i="3"/>
  <c r="F7" i="13"/>
  <c r="G7" i="13" s="1"/>
  <c r="H7" i="13" s="1"/>
  <c r="S11" i="6"/>
  <c r="W12" i="6"/>
  <c r="F15" i="3"/>
  <c r="X12" i="6"/>
  <c r="B15" i="3"/>
  <c r="R12" i="6"/>
  <c r="X17" i="6" l="1"/>
  <c r="F8" i="7" s="1"/>
  <c r="B16" i="2"/>
  <c r="M5" i="3"/>
  <c r="B9" i="8"/>
  <c r="F6" i="9"/>
  <c r="P9" i="3"/>
  <c r="A9" i="2"/>
  <c r="F19" i="2"/>
  <c r="B10" i="7"/>
  <c r="B9" i="9"/>
  <c r="Q5" i="3"/>
  <c r="B13" i="4"/>
  <c r="F10" i="13"/>
  <c r="G5" i="13"/>
  <c r="P6" i="3"/>
  <c r="C19" i="2"/>
  <c r="C6" i="9"/>
  <c r="D7" i="7"/>
  <c r="A8" i="2"/>
  <c r="AH12" i="6"/>
  <c r="H15" i="3" s="1"/>
  <c r="AI12" i="6"/>
  <c r="S12" i="6"/>
  <c r="C15" i="3"/>
  <c r="X5" i="6"/>
  <c r="B8" i="7" s="1"/>
  <c r="F9" i="9"/>
  <c r="Q9" i="3"/>
  <c r="F10" i="7"/>
  <c r="D10" i="7"/>
  <c r="D9" i="9"/>
  <c r="Q7" i="3"/>
  <c r="D19" i="2"/>
  <c r="P7" i="3"/>
  <c r="D6" i="9"/>
  <c r="H14" i="3"/>
  <c r="B6" i="9"/>
  <c r="B19" i="2"/>
  <c r="P5" i="3"/>
  <c r="C10" i="7"/>
  <c r="Q6" i="3"/>
  <c r="C9" i="9"/>
  <c r="X8" i="6"/>
  <c r="C8" i="7" s="1"/>
  <c r="G10" i="13" l="1"/>
  <c r="H5" i="13"/>
  <c r="H10" i="1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Codex</author>
  </authors>
  <commentList>
    <comment ref="C5" authorId="0" shapeId="0" xr:uid="{00000000-0006-0000-0400-000001000000}">
      <text>
        <r>
          <rPr>
            <sz val="11"/>
            <color theme="1"/>
            <rFont val="Calibri"/>
            <family val="2"/>
            <scheme val="minor"/>
          </rPr>
          <t>Source: Viet Nam NDC 2022: 2030 BAU
https://unfccc.int/sites/default/files/NDC/2022-11/Viet%20Nam_NDC_2022_Eng.pdf
Caveat: 2030 BAU projection; used to scale absolute emissions outputs.</t>
        </r>
      </text>
    </comment>
    <comment ref="D5" authorId="0" shapeId="0" xr:uid="{00000000-0006-0000-0400-000002000000}">
      <text>
        <r>
          <rPr>
            <sz val="11"/>
            <color theme="1"/>
            <rFont val="Calibri"/>
            <family val="2"/>
            <scheme val="minor"/>
          </rPr>
          <t>Source: Viet Nam NDC 2022: 2030 BAU
https://unfccc.int/sites/default/files/NDC/2022-11/Viet%20Nam_NDC_2022_Eng.pdf
Caveat: 2030 BAU projection; used to scale absolute emissions outputs.</t>
        </r>
      </text>
    </comment>
    <comment ref="E5" authorId="0" shapeId="0" xr:uid="{00000000-0006-0000-0400-000003000000}">
      <text>
        <r>
          <rPr>
            <sz val="11"/>
            <color theme="1"/>
            <rFont val="Calibri"/>
            <family val="2"/>
            <scheme val="minor"/>
          </rPr>
          <t>Source: Viet Nam NDC 2022: 2030 BAU
https://unfccc.int/sites/default/files/NDC/2022-11/Viet%20Nam_NDC_2022_Eng.pdf
Caveat: 2030 BAU projection; used to scale absolute emissions outputs.</t>
        </r>
      </text>
    </comment>
    <comment ref="C6" authorId="0" shapeId="0" xr:uid="{00000000-0006-0000-0400-000004000000}">
      <text>
        <r>
          <rPr>
            <sz val="11"/>
            <color theme="1"/>
            <rFont val="Calibri"/>
            <family val="2"/>
            <scheme val="minor"/>
          </rPr>
          <t>Source: World Bank: Viet Nam GDP 2024
https://data.worldbank.org/country/viet-nam?locations=VN&amp;name_desc=false
Caveat: Used only to translate percentage GDP effects into an indicative USD scale.</t>
        </r>
      </text>
    </comment>
    <comment ref="D6" authorId="0" shapeId="0" xr:uid="{00000000-0006-0000-0400-000005000000}">
      <text>
        <r>
          <rPr>
            <sz val="11"/>
            <color theme="1"/>
            <rFont val="Calibri"/>
            <family val="2"/>
            <scheme val="minor"/>
          </rPr>
          <t>Source: World Bank: Viet Nam GDP 2024
https://data.worldbank.org/country/viet-nam?locations=VN&amp;name_desc=false
Caveat: Used only to translate percentage GDP effects into an indicative USD scale.</t>
        </r>
      </text>
    </comment>
    <comment ref="E6" authorId="0" shapeId="0" xr:uid="{00000000-0006-0000-0400-000006000000}">
      <text>
        <r>
          <rPr>
            <sz val="11"/>
            <color theme="1"/>
            <rFont val="Calibri"/>
            <family val="2"/>
            <scheme val="minor"/>
          </rPr>
          <t>Source: World Bank: Viet Nam GDP 2024
https://data.worldbank.org/country/viet-nam?locations=VN&amp;name_desc=false
Caveat: Used only to translate percentage GDP effects into an indicative USD scale.</t>
        </r>
      </text>
    </comment>
    <comment ref="C7" authorId="0" shapeId="0" xr:uid="{00000000-0006-0000-0400-000007000000}">
      <text>
        <r>
          <rPr>
            <sz val="11"/>
            <color theme="1"/>
            <rFont val="Calibri"/>
            <family val="2"/>
            <scheme val="minor"/>
          </rPr>
          <t>Source: VnExpress summary of IPSS-UNDP study
https://vnexpress.net/ap-thue-15-usd-moi-tan-co2-co-the-giup-viet-nam-giam-3-phat-thai-5096991.html
Caveat: Calibration point reported by article.</t>
        </r>
      </text>
    </comment>
    <comment ref="D7" authorId="0" shapeId="0" xr:uid="{00000000-0006-0000-0400-000008000000}">
      <text>
        <r>
          <rPr>
            <sz val="11"/>
            <color theme="1"/>
            <rFont val="Calibri"/>
            <family val="2"/>
            <scheme val="minor"/>
          </rPr>
          <t>Source: VnExpress summary of IPSS-UNDP study
https://vnexpress.net/ap-thue-15-usd-moi-tan-co2-co-the-giup-viet-nam-giam-3-phat-thai-5096991.html
Caveat: Calibration point reported by article.</t>
        </r>
      </text>
    </comment>
    <comment ref="E7" authorId="0" shapeId="0" xr:uid="{00000000-0006-0000-0400-000009000000}">
      <text>
        <r>
          <rPr>
            <sz val="11"/>
            <color theme="1"/>
            <rFont val="Calibri"/>
            <family val="2"/>
            <scheme val="minor"/>
          </rPr>
          <t>Source: VnExpress summary of IPSS-UNDP study
https://vnexpress.net/ap-thue-15-usd-moi-tan-co2-co-the-giup-viet-nam-giam-3-phat-thai-5096991.html
Caveat: Calibration point reported by article.</t>
        </r>
      </text>
    </comment>
    <comment ref="C8" authorId="0" shapeId="0" xr:uid="{00000000-0006-0000-0400-00000A000000}">
      <text>
        <r>
          <rPr>
            <sz val="11"/>
            <color theme="1"/>
            <rFont val="Calibri"/>
            <family val="2"/>
            <scheme val="minor"/>
          </rPr>
          <t>Source: VnExpress summary of IPSS-UNDP study
https://vnexpress.net/ap-thue-15-usd-moi-tan-co2-co-the-giup-viet-nam-giam-3-phat-thai-5096991.html
Caveat: 2.9% reduction at USD15/tCO2e.</t>
        </r>
      </text>
    </comment>
    <comment ref="D8" authorId="0" shapeId="0" xr:uid="{00000000-0006-0000-0400-00000B000000}">
      <text>
        <r>
          <rPr>
            <sz val="11"/>
            <color theme="1"/>
            <rFont val="Calibri"/>
            <family val="2"/>
            <scheme val="minor"/>
          </rPr>
          <t>Source: VnExpress summary of IPSS-UNDP study
https://vnexpress.net/ap-thue-15-usd-moi-tan-co2-co-the-giup-viet-nam-giam-3-phat-thai-5096991.html
Caveat: 2.9% reduction at USD15/tCO2e.</t>
        </r>
      </text>
    </comment>
    <comment ref="E8" authorId="0" shapeId="0" xr:uid="{00000000-0006-0000-0400-00000C000000}">
      <text>
        <r>
          <rPr>
            <sz val="11"/>
            <color theme="1"/>
            <rFont val="Calibri"/>
            <family val="2"/>
            <scheme val="minor"/>
          </rPr>
          <t>Source: VnExpress summary of IPSS-UNDP study
https://vnexpress.net/ap-thue-15-usd-moi-tan-co2-co-the-giup-viet-nam-giam-3-phat-thai-5096991.html
Caveat: 2.9% reduction at USD15/tCO2e.</t>
        </r>
      </text>
    </comment>
    <comment ref="C9" authorId="0" shapeId="0" xr:uid="{00000000-0006-0000-0400-00000D000000}">
      <text>
        <r>
          <rPr>
            <sz val="11"/>
            <color theme="1"/>
            <rFont val="Calibri"/>
            <family val="2"/>
            <scheme val="minor"/>
          </rPr>
          <t>Source: VnExpress summary of IPSS-UNDP study
https://vnexpress.net/ap-thue-15-usd-moi-tan-co2-co-the-giup-viet-nam-giam-3-phat-thai-5096991.html
Caveat: GDP could decline 0.8% without suitable offsets.</t>
        </r>
      </text>
    </comment>
    <comment ref="D9" authorId="0" shapeId="0" xr:uid="{00000000-0006-0000-0400-00000E000000}">
      <text>
        <r>
          <rPr>
            <sz val="11"/>
            <color theme="1"/>
            <rFont val="Calibri"/>
            <family val="2"/>
            <scheme val="minor"/>
          </rPr>
          <t>Source: VnExpress summary of IPSS-UNDP study
https://vnexpress.net/ap-thue-15-usd-moi-tan-co2-co-the-giup-viet-nam-giam-3-phat-thai-5096991.html
Caveat: GDP could decline 0.8% without suitable offsets.</t>
        </r>
      </text>
    </comment>
    <comment ref="E9" authorId="0" shapeId="0" xr:uid="{00000000-0006-0000-0400-00000F000000}">
      <text>
        <r>
          <rPr>
            <sz val="11"/>
            <color theme="1"/>
            <rFont val="Calibri"/>
            <family val="2"/>
            <scheme val="minor"/>
          </rPr>
          <t>Source: VnExpress summary of IPSS-UNDP study
https://vnexpress.net/ap-thue-15-usd-moi-tan-co2-co-the-giup-viet-nam-giam-3-phat-thai-5096991.html
Caveat: GDP could decline 0.8% without suitable offsets.</t>
        </r>
      </text>
    </comment>
    <comment ref="C10" authorId="0" shapeId="0" xr:uid="{00000000-0006-0000-0400-000010000000}">
      <text>
        <r>
          <rPr>
            <sz val="11"/>
            <color theme="1"/>
            <rFont val="Calibri"/>
            <family val="2"/>
            <scheme val="minor"/>
          </rPr>
          <t>Source: VnExpress summary of IPSS-UNDP study
https://vnexpress.net/ap-thue-15-usd-moi-tan-co2-co-the-giup-viet-nam-giam-3-phat-thai-5096991.html
Caveat: Exports-imports reported down around 0.9%.</t>
        </r>
      </text>
    </comment>
    <comment ref="D10" authorId="0" shapeId="0" xr:uid="{00000000-0006-0000-0400-000011000000}">
      <text>
        <r>
          <rPr>
            <sz val="11"/>
            <color theme="1"/>
            <rFont val="Calibri"/>
            <family val="2"/>
            <scheme val="minor"/>
          </rPr>
          <t>Source: VnExpress summary of IPSS-UNDP study
https://vnexpress.net/ap-thue-15-usd-moi-tan-co2-co-the-giup-viet-nam-giam-3-phat-thai-5096991.html
Caveat: Exports-imports reported down around 0.9%.</t>
        </r>
      </text>
    </comment>
    <comment ref="E10" authorId="0" shapeId="0" xr:uid="{00000000-0006-0000-0400-000012000000}">
      <text>
        <r>
          <rPr>
            <sz val="11"/>
            <color theme="1"/>
            <rFont val="Calibri"/>
            <family val="2"/>
            <scheme val="minor"/>
          </rPr>
          <t>Source: VnExpress summary of IPSS-UNDP study
https://vnexpress.net/ap-thue-15-usd-moi-tan-co2-co-the-giup-viet-nam-giam-3-phat-thai-5096991.html
Caveat: Exports-imports reported down around 0.9%.</t>
        </r>
      </text>
    </comment>
    <comment ref="C11" authorId="0" shapeId="0" xr:uid="{00000000-0006-0000-0400-000013000000}">
      <text>
        <r>
          <rPr>
            <sz val="11"/>
            <color theme="1"/>
            <rFont val="Calibri"/>
            <family val="2"/>
            <scheme val="minor"/>
          </rPr>
          <t>Source: VnExpress summary of IPSS-UNDP study
https://vnexpress.net/ap-thue-15-usd-moi-tan-co2-co-the-giup-viet-nam-giam-3-phat-thai-5096991.html
Caveat: Investment reported down around 1.3%.</t>
        </r>
      </text>
    </comment>
    <comment ref="D11" authorId="0" shapeId="0" xr:uid="{00000000-0006-0000-0400-000014000000}">
      <text>
        <r>
          <rPr>
            <sz val="11"/>
            <color theme="1"/>
            <rFont val="Calibri"/>
            <family val="2"/>
            <scheme val="minor"/>
          </rPr>
          <t>Source: VnExpress summary of IPSS-UNDP study
https://vnexpress.net/ap-thue-15-usd-moi-tan-co2-co-the-giup-viet-nam-giam-3-phat-thai-5096991.html
Caveat: Investment reported down around 1.3%.</t>
        </r>
      </text>
    </comment>
    <comment ref="E11" authorId="0" shapeId="0" xr:uid="{00000000-0006-0000-0400-000015000000}">
      <text>
        <r>
          <rPr>
            <sz val="11"/>
            <color theme="1"/>
            <rFont val="Calibri"/>
            <family val="2"/>
            <scheme val="minor"/>
          </rPr>
          <t>Source: VnExpress summary of IPSS-UNDP study
https://vnexpress.net/ap-thue-15-usd-moi-tan-co2-co-the-giup-viet-nam-giam-3-phat-thai-5096991.html
Caveat: Investment reported down around 1.3%.</t>
        </r>
      </text>
    </comment>
    <comment ref="C12" authorId="0" shapeId="0" xr:uid="{00000000-0006-0000-0400-000016000000}">
      <text>
        <r>
          <rPr>
            <sz val="11"/>
            <color theme="1"/>
            <rFont val="Calibri"/>
            <family val="2"/>
            <scheme val="minor"/>
          </rPr>
          <t>Source: VnExpress summary of IPSS-UNDP study
https://vnexpress.net/ap-thue-15-usd-moi-tan-co2-co-the-giup-viet-nam-giam-3-phat-thai-5096991.html
Caveat: Article says government revenue rises 0.41%; interpreted as a relative index, not percentage points of GDP.</t>
        </r>
      </text>
    </comment>
    <comment ref="D12" authorId="0" shapeId="0" xr:uid="{00000000-0006-0000-0400-000017000000}">
      <text>
        <r>
          <rPr>
            <sz val="11"/>
            <color theme="1"/>
            <rFont val="Calibri"/>
            <family val="2"/>
            <scheme val="minor"/>
          </rPr>
          <t>Source: VnExpress summary of IPSS-UNDP study
https://vnexpress.net/ap-thue-15-usd-moi-tan-co2-co-the-giup-viet-nam-giam-3-phat-thai-5096991.html
Caveat: Article says government revenue rises 0.41%; interpreted as a relative index, not percentage points of GDP.</t>
        </r>
      </text>
    </comment>
    <comment ref="E12" authorId="0" shapeId="0" xr:uid="{00000000-0006-0000-0400-000018000000}">
      <text>
        <r>
          <rPr>
            <sz val="11"/>
            <color theme="1"/>
            <rFont val="Calibri"/>
            <family val="2"/>
            <scheme val="minor"/>
          </rPr>
          <t>Source: VnExpress summary of IPSS-UNDP study
https://vnexpress.net/ap-thue-15-usd-moi-tan-co2-co-the-giup-viet-nam-giam-3-phat-thai-5096991.html
Caveat: Article says government revenue rises 0.41%; interpreted as a relative index, not percentage points of GDP.</t>
        </r>
      </text>
    </comment>
    <comment ref="C13" authorId="0" shapeId="0" xr:uid="{00000000-0006-0000-0400-000019000000}">
      <text>
        <r>
          <rPr>
            <sz val="11"/>
            <color theme="1"/>
            <rFont val="Calibri"/>
            <family val="2"/>
            <scheme val="minor"/>
          </rPr>
          <t>Source: VnExpress summary of IPSS-UNDP study
https://vnexpress.net/ap-thue-15-usd-moi-tan-co2-co-the-giup-viet-nam-giam-3-phat-thai-5096991.html
Caveat: 30% of proceeds can compensate the lowest-income 50% of households.</t>
        </r>
      </text>
    </comment>
    <comment ref="D13" authorId="0" shapeId="0" xr:uid="{00000000-0006-0000-0400-00001A000000}">
      <text>
        <r>
          <rPr>
            <sz val="11"/>
            <color theme="1"/>
            <rFont val="Calibri"/>
            <family val="2"/>
            <scheme val="minor"/>
          </rPr>
          <t>Source: VnExpress summary of IPSS-UNDP study
https://vnexpress.net/ap-thue-15-usd-moi-tan-co2-co-the-giup-viet-nam-giam-3-phat-thai-5096991.html
Caveat: 30% of proceeds can compensate the lowest-income 50% of households.</t>
        </r>
      </text>
    </comment>
    <comment ref="E13" authorId="0" shapeId="0" xr:uid="{00000000-0006-0000-0400-00001B000000}">
      <text>
        <r>
          <rPr>
            <sz val="11"/>
            <color theme="1"/>
            <rFont val="Calibri"/>
            <family val="2"/>
            <scheme val="minor"/>
          </rPr>
          <t>Source: VnExpress summary of IPSS-UNDP study
https://vnexpress.net/ap-thue-15-usd-moi-tan-co2-co-the-giup-viet-nam-giam-3-phat-thai-5096991.html
Caveat: 30% of proceeds can compensate the lowest-income 50% of households.</t>
        </r>
      </text>
    </comment>
    <comment ref="C14" authorId="0" shapeId="0" xr:uid="{00000000-0006-0000-0400-00001C000000}">
      <text>
        <r>
          <rPr>
            <sz val="11"/>
            <color theme="1"/>
            <rFont val="Calibri"/>
            <family val="2"/>
            <scheme val="minor"/>
          </rPr>
          <t>Source: VnExpress summary of IPSS-UNDP study
https://vnexpress.net/ap-thue-15-usd-moi-tan-co2-co-the-giup-viet-nam-giam-3-phat-thai-5096991.html
Caveat: Coverage anchor at the 30% recycling threshold.</t>
        </r>
      </text>
    </comment>
    <comment ref="D14" authorId="0" shapeId="0" xr:uid="{00000000-0006-0000-0400-00001D000000}">
      <text>
        <r>
          <rPr>
            <sz val="11"/>
            <color theme="1"/>
            <rFont val="Calibri"/>
            <family val="2"/>
            <scheme val="minor"/>
          </rPr>
          <t>Source: VnExpress summary of IPSS-UNDP study
https://vnexpress.net/ap-thue-15-usd-moi-tan-co2-co-the-giup-viet-nam-giam-3-phat-thai-5096991.html
Caveat: Coverage anchor at the 30% recycling threshold.</t>
        </r>
      </text>
    </comment>
    <comment ref="E14" authorId="0" shapeId="0" xr:uid="{00000000-0006-0000-0400-00001E000000}">
      <text>
        <r>
          <rPr>
            <sz val="11"/>
            <color theme="1"/>
            <rFont val="Calibri"/>
            <family val="2"/>
            <scheme val="minor"/>
          </rPr>
          <t>Source: VnExpress summary of IPSS-UNDP study
https://vnexpress.net/ap-thue-15-usd-moi-tan-co2-co-the-giup-viet-nam-giam-3-phat-thai-5096991.html
Caveat: Coverage anchor at the 30% recycling threshold.</t>
        </r>
      </text>
    </comment>
    <comment ref="C15" authorId="0" shapeId="0" xr:uid="{00000000-0006-0000-0400-00001F000000}">
      <text>
        <r>
          <rPr>
            <sz val="11"/>
            <color theme="1"/>
            <rFont val="Calibri"/>
            <family val="2"/>
            <scheme val="minor"/>
          </rPr>
          <t>Source: VnExpress summary of IPSS-UNDP study
https://vnexpress.net/ap-thue-15-usd-moi-tan-co2-co-the-giup-viet-nam-giam-3-phat-thai-5096991.html
Caveat: 10% energy saving/efficiency package benchmark.</t>
        </r>
      </text>
    </comment>
    <comment ref="D15" authorId="0" shapeId="0" xr:uid="{00000000-0006-0000-0400-000020000000}">
      <text>
        <r>
          <rPr>
            <sz val="11"/>
            <color theme="1"/>
            <rFont val="Calibri"/>
            <family val="2"/>
            <scheme val="minor"/>
          </rPr>
          <t>Source: VnExpress summary of IPSS-UNDP study
https://vnexpress.net/ap-thue-15-usd-moi-tan-co2-co-the-giup-viet-nam-giam-3-phat-thai-5096991.html
Caveat: 10% energy saving/efficiency package benchmark.</t>
        </r>
      </text>
    </comment>
    <comment ref="E15" authorId="0" shapeId="0" xr:uid="{00000000-0006-0000-0400-000021000000}">
      <text>
        <r>
          <rPr>
            <sz val="11"/>
            <color theme="1"/>
            <rFont val="Calibri"/>
            <family val="2"/>
            <scheme val="minor"/>
          </rPr>
          <t>Source: VnExpress summary of IPSS-UNDP study
https://vnexpress.net/ap-thue-15-usd-moi-tan-co2-co-the-giup-viet-nam-giam-3-phat-thai-5096991.html
Caveat: 10% energy saving/efficiency package benchmark.</t>
        </r>
      </text>
    </comment>
    <comment ref="C16" authorId="0" shapeId="0" xr:uid="{00000000-0006-0000-0400-000022000000}">
      <text>
        <r>
          <rPr>
            <sz val="11"/>
            <color theme="1"/>
            <rFont val="Calibri"/>
            <family val="2"/>
            <scheme val="minor"/>
          </rPr>
          <t>Source: VnExpress summary of IPSS-UNDP study
https://vnexpress.net/ap-thue-15-usd-moi-tan-co2-co-the-giup-viet-nam-giam-3-phat-thai-5096991.html
Caveat: Study reports 10% efficiency could raise GDP by 1%.</t>
        </r>
      </text>
    </comment>
    <comment ref="D16" authorId="0" shapeId="0" xr:uid="{00000000-0006-0000-0400-000023000000}">
      <text>
        <r>
          <rPr>
            <sz val="11"/>
            <color theme="1"/>
            <rFont val="Calibri"/>
            <family val="2"/>
            <scheme val="minor"/>
          </rPr>
          <t>Source: VnExpress summary of IPSS-UNDP study
https://vnexpress.net/ap-thue-15-usd-moi-tan-co2-co-the-giup-viet-nam-giam-3-phat-thai-5096991.html
Caveat: Study reports 10% efficiency could raise GDP by 1%.</t>
        </r>
      </text>
    </comment>
    <comment ref="E16" authorId="0" shapeId="0" xr:uid="{00000000-0006-0000-0400-000024000000}">
      <text>
        <r>
          <rPr>
            <sz val="11"/>
            <color theme="1"/>
            <rFont val="Calibri"/>
            <family val="2"/>
            <scheme val="minor"/>
          </rPr>
          <t>Source: VnExpress summary of IPSS-UNDP study
https://vnexpress.net/ap-thue-15-usd-moi-tan-co2-co-the-giup-viet-nam-giam-3-phat-thai-5096991.html
Caveat: Study reports 10% efficiency could raise GDP by 1%.</t>
        </r>
      </text>
    </comment>
    <comment ref="C17" authorId="0" shapeId="0" xr:uid="{00000000-0006-0000-0400-000025000000}">
      <text>
        <r>
          <rPr>
            <sz val="11"/>
            <color theme="1"/>
            <rFont val="Calibri"/>
            <family val="2"/>
            <scheme val="minor"/>
          </rPr>
          <t>Source: Viet Nam NDC 2022
https://unfccc.int/sites/default/files/NDC/2022-11/Viet%20Nam_NDC_2022_Eng.pdf
Caveat: 15.8% below 2030 BAU.</t>
        </r>
      </text>
    </comment>
    <comment ref="D17" authorId="0" shapeId="0" xr:uid="{00000000-0006-0000-0400-000026000000}">
      <text>
        <r>
          <rPr>
            <sz val="11"/>
            <color theme="1"/>
            <rFont val="Calibri"/>
            <family val="2"/>
            <scheme val="minor"/>
          </rPr>
          <t>Source: Viet Nam NDC 2022
https://unfccc.int/sites/default/files/NDC/2022-11/Viet%20Nam_NDC_2022_Eng.pdf
Caveat: 15.8% below 2030 BAU.</t>
        </r>
      </text>
    </comment>
    <comment ref="E17" authorId="0" shapeId="0" xr:uid="{00000000-0006-0000-0400-000027000000}">
      <text>
        <r>
          <rPr>
            <sz val="11"/>
            <color theme="1"/>
            <rFont val="Calibri"/>
            <family val="2"/>
            <scheme val="minor"/>
          </rPr>
          <t>Source: Viet Nam NDC 2022
https://unfccc.int/sites/default/files/NDC/2022-11/Viet%20Nam_NDC_2022_Eng.pdf
Caveat: 15.8% below 2030 BAU.</t>
        </r>
      </text>
    </comment>
    <comment ref="C18" authorId="0" shapeId="0" xr:uid="{00000000-0006-0000-0400-000028000000}">
      <text>
        <r>
          <rPr>
            <sz val="11"/>
            <color theme="1"/>
            <rFont val="Calibri"/>
            <family val="2"/>
            <scheme val="minor"/>
          </rPr>
          <t>Source: Viet Nam NDC 2022
https://unfccc.int/sites/default/files/NDC/2022-11/Viet%20Nam_NDC_2022_Eng.pdf
Caveat: 43.5% below 2030 BAU with international support.</t>
        </r>
      </text>
    </comment>
    <comment ref="D18" authorId="0" shapeId="0" xr:uid="{00000000-0006-0000-0400-000029000000}">
      <text>
        <r>
          <rPr>
            <sz val="11"/>
            <color theme="1"/>
            <rFont val="Calibri"/>
            <family val="2"/>
            <scheme val="minor"/>
          </rPr>
          <t>Source: Viet Nam NDC 2022
https://unfccc.int/sites/default/files/NDC/2022-11/Viet%20Nam_NDC_2022_Eng.pdf
Caveat: 43.5% below 2030 BAU with international support.</t>
        </r>
      </text>
    </comment>
    <comment ref="E18" authorId="0" shapeId="0" xr:uid="{00000000-0006-0000-0400-00002A000000}">
      <text>
        <r>
          <rPr>
            <sz val="11"/>
            <color theme="1"/>
            <rFont val="Calibri"/>
            <family val="2"/>
            <scheme val="minor"/>
          </rPr>
          <t>Source: Viet Nam NDC 2022
https://unfccc.int/sites/default/files/NDC/2022-11/Viet%20Nam_NDC_2022_Eng.pdf
Caveat: 43.5% below 2030 BAU with international support.</t>
        </r>
      </text>
    </comment>
    <comment ref="C19" authorId="0" shapeId="0" xr:uid="{00000000-0006-0000-0400-00002B000000}">
      <text>
        <r>
          <rPr>
            <sz val="11"/>
            <color theme="1"/>
            <rFont val="Calibri"/>
            <family val="2"/>
            <scheme val="minor"/>
          </rPr>
          <t>Source: VnExpress: 511 MtCO2e over 2025-2026
https://vnexpress.net/ap-thue-15-usd-moi-tan-co2-co-the-giup-viet-nam-giam-3-phat-thai-5096991.html
Caveat: Annualized from the two-year quota; used as a pilot coverage proxy.</t>
        </r>
      </text>
    </comment>
    <comment ref="D19" authorId="0" shapeId="0" xr:uid="{00000000-0006-0000-0400-00002C000000}">
      <text>
        <r>
          <rPr>
            <sz val="11"/>
            <color theme="1"/>
            <rFont val="Calibri"/>
            <family val="2"/>
            <scheme val="minor"/>
          </rPr>
          <t>Source: VnExpress: 511 MtCO2e over 2025-2026
https://vnexpress.net/ap-thue-15-usd-moi-tan-co2-co-the-giup-viet-nam-giam-3-phat-thai-5096991.html
Caveat: Annualized from the two-year quota; used as a pilot coverage proxy.</t>
        </r>
      </text>
    </comment>
    <comment ref="E19" authorId="0" shapeId="0" xr:uid="{00000000-0006-0000-0400-00002D000000}">
      <text>
        <r>
          <rPr>
            <sz val="11"/>
            <color theme="1"/>
            <rFont val="Calibri"/>
            <family val="2"/>
            <scheme val="minor"/>
          </rPr>
          <t>Source: VnExpress: 511 MtCO2e over 2025-2026
https://vnexpress.net/ap-thue-15-usd-moi-tan-co2-co-the-giup-viet-nam-giam-3-phat-thai-5096991.html
Caveat: Annualized from the two-year quota; used as a pilot coverage proxy.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Codex</author>
  </authors>
  <commentList>
    <comment ref="B5" authorId="0" shapeId="0" xr:uid="{00000000-0006-0000-0C00-000001000000}">
      <text>
        <r>
          <rPr>
            <sz val="11"/>
            <color theme="1"/>
            <rFont val="Calibri"/>
            <family val="2"/>
            <scheme val="minor"/>
          </rPr>
          <t>Source: Viet Nam NDC 2022
https://unfccc.int/sites/default/files/NDC/2022-11/Viet%20Nam_NDC_2022_Eng.pdf</t>
        </r>
      </text>
    </comment>
    <comment ref="B6" authorId="0" shapeId="0" xr:uid="{00000000-0006-0000-0C00-000002000000}">
      <text>
        <r>
          <rPr>
            <sz val="11"/>
            <color theme="1"/>
            <rFont val="Calibri"/>
            <family val="2"/>
            <scheme val="minor"/>
          </rPr>
          <t>Source: Viet Nam NDC 2022
https://unfccc.int/sites/default/files/NDC/2022-11/Viet%20Nam_NDC_2022_Eng.pdf</t>
        </r>
      </text>
    </comment>
    <comment ref="B7" authorId="0" shapeId="0" xr:uid="{00000000-0006-0000-0C00-000003000000}">
      <text>
        <r>
          <rPr>
            <sz val="11"/>
            <color theme="1"/>
            <rFont val="Calibri"/>
            <family val="2"/>
            <scheme val="minor"/>
          </rPr>
          <t>Source: Viet Nam NDC 2022
https://unfccc.int/sites/default/files/NDC/2022-11/Viet%20Nam_NDC_2022_Eng.pdf</t>
        </r>
      </text>
    </comment>
    <comment ref="B8" authorId="0" shapeId="0" xr:uid="{00000000-0006-0000-0C00-000004000000}">
      <text>
        <r>
          <rPr>
            <sz val="11"/>
            <color theme="1"/>
            <rFont val="Calibri"/>
            <family val="2"/>
            <scheme val="minor"/>
          </rPr>
          <t>Source: Viet Nam NDC 2022
https://unfccc.int/sites/default/files/NDC/2022-11/Viet%20Nam_NDC_2022_Eng.pdf</t>
        </r>
      </text>
    </comment>
  </commentList>
</comments>
</file>

<file path=xl/sharedStrings.xml><?xml version="1.0" encoding="utf-8"?>
<sst xmlns="http://schemas.openxmlformats.org/spreadsheetml/2006/main" count="557" uniqueCount="370">
  <si>
    <t>VIETNAM CARBON TAX
IMPACT SIMULATION</t>
  </si>
  <si>
    <t>Decision question</t>
  </si>
  <si>
    <t>Does a USD15/tCO2e price plausibly deliver ~3% emissions reduction, and which policy package best limits the macro and equity trade-offs?</t>
  </si>
  <si>
    <t>Model type</t>
  </si>
  <si>
    <t>CGE-anchor replication + transparent policy lever simulation; not a forecast</t>
  </si>
  <si>
    <t>Reference periods</t>
  </si>
  <si>
    <t>2030 BAU emissions; 2024 GDP scale proxy; policy calibration published 13 Jul 2026</t>
  </si>
  <si>
    <t>Version / status</t>
  </si>
  <si>
    <t>v1.0 / Directional decision model</t>
  </si>
  <si>
    <t>Prepared</t>
  </si>
  <si>
    <t>How to use</t>
  </si>
  <si>
    <t>Start with Executive Summary. Change blue cells in Scenario Comparison and Assumptions Log. All outputs recalculate through named ranges.</t>
  </si>
  <si>
    <t>Confidence</t>
  </si>
  <si>
    <t>Directional — core article anchors are medium confidence; behavioural and recycling offsets are explicit low-confidence model assumptions.</t>
  </si>
  <si>
    <t>USD15/tCO2e CAN REPLICATE THE ~3% THESIS — BUT POLICY DESIGN DETERMINES WHETHER THE GDP TRADE-OFF PERSISTS</t>
  </si>
  <si>
    <t>Executive readout: thesis replication, output ranges, and recommended package. Values update when blue inputs change.</t>
  </si>
  <si>
    <t>KEY FINDINGS</t>
  </si>
  <si>
    <t>POLICY CASE COMPARISON — BASE SCENARIO</t>
  </si>
  <si>
    <t>Metric</t>
  </si>
  <si>
    <t>Pilot ETS</t>
  </si>
  <si>
    <t>$15 Tax Only</t>
  </si>
  <si>
    <t>$15 Just Transition</t>
  </si>
  <si>
    <t>$15 Protected</t>
  </si>
  <si>
    <t>$30 Accelerated</t>
  </si>
  <si>
    <t>Net emissions reduction (%)</t>
  </si>
  <si>
    <t>Reduction (MtCO2e)</t>
  </si>
  <si>
    <t>Net GDP impact (%)</t>
  </si>
  <si>
    <t>Net GDP impact (USD bn)</t>
  </si>
  <si>
    <t>Net fiscal proceeds (USD bn)</t>
  </si>
  <si>
    <t>Households compensated (%)</t>
  </si>
  <si>
    <t>NDC unconditional progress (%)</t>
  </si>
  <si>
    <t>RECOMMENDATION</t>
  </si>
  <si>
    <t>Proceed with a staged $15/tCO2e broad price only as a package: preserve the marginal price signal, recycle at least 30% of proceeds to lower-income households, and pair it with measurable energy-efficiency delivery. Treat the tax-only case as the counterfactual—not the recommended design.</t>
  </si>
  <si>
    <t>Directional / Medium-Low</t>
  </si>
  <si>
    <t>Critical uncertainty</t>
  </si>
  <si>
    <t>Behavioural response and the macro benefit of recycling are not identified in the article.</t>
  </si>
  <si>
    <t>POLICY CASES — INPUT LEVERS</t>
  </si>
  <si>
    <t>Edit blue cells. Base outputs are formula-linked from the model engine; the lower table shows Base/Bull/Bear uncertainty for the featured just-transition package.</t>
  </si>
  <si>
    <t>Case</t>
  </si>
  <si>
    <t>Carbon price
(USD/tCO2e)</t>
  </si>
  <si>
    <t>Coverage
(%)</t>
  </si>
  <si>
    <t>Exemption / free allocation
(%)</t>
  </si>
  <si>
    <t>Revenue recycling
(%)</t>
  </si>
  <si>
    <t>Efficiency gain
(%)</t>
  </si>
  <si>
    <t>Collection efficiency
(%)</t>
  </si>
  <si>
    <t>Leakage
(%)</t>
  </si>
  <si>
    <t>Feasibility
(1-5)</t>
  </si>
  <si>
    <t>Net emissions reduction
(%)</t>
  </si>
  <si>
    <t>Reduction
(MtCO2e)</t>
  </si>
  <si>
    <t>Net GDP impact
(%)</t>
  </si>
  <si>
    <t>Net GDP impact
(USD bn)</t>
  </si>
  <si>
    <t>Net fiscal proceeds
(USD bn)</t>
  </si>
  <si>
    <t>Bottom households compensated
(%)</t>
  </si>
  <si>
    <t>NDC unconditional progress
(%)</t>
  </si>
  <si>
    <t>Revenue / t abated
(USD/t)</t>
  </si>
  <si>
    <t>Narrative</t>
  </si>
  <si>
    <t>Narrow learning phase; high free allocation limits both burden and impact.</t>
  </si>
  <si>
    <t>Reproduces the article thesis with no recycling or efficiency package; the 2.9% anchor is already treated as net of baseline leakage.</t>
  </si>
  <si>
    <t>Article-consistent price plus targeted recycling and a partial efficiency push.</t>
  </si>
  <si>
    <t>$15 Protected Industry</t>
  </si>
  <si>
    <t>Partial coverage and exemptions reduce competitiveness risk but weaken abatement.</t>
  </si>
  <si>
    <t>Higher price paired with full efficiency benchmark and stronger recycling.</t>
  </si>
  <si>
    <t>FEATURED CASE RANGE — $15 JUST TRANSITION</t>
  </si>
  <si>
    <t>Scenario</t>
  </si>
  <si>
    <t>Probability</t>
  </si>
  <si>
    <t>What would need to be true</t>
  </si>
  <si>
    <t>Base</t>
  </si>
  <si>
    <t>IPSS calibration holds and implementation is broadly effective.</t>
  </si>
  <si>
    <t>Bull</t>
  </si>
  <si>
    <t>Firms abate faster, efficiency measures deliver, and macro adjustment is smoother.</t>
  </si>
  <si>
    <t>Bear</t>
  </si>
  <si>
    <t>Weak response, slower efficiency delivery, and higher near-term macro friction.</t>
  </si>
  <si>
    <t>$30 ACCELERATED MAXIMIZES MODELLED IMPACT; $15 JUST TRANSITION IS THE PRAGMATIC STARTING PACKAGE</t>
  </si>
  <si>
    <t>Scores are formula-driven except feasibility, which is an editable policy-judgment input on Scenario Comparison. Highest score is not automatically the recommended launch sequence.</t>
  </si>
  <si>
    <t>Criterion</t>
  </si>
  <si>
    <t>Weight</t>
  </si>
  <si>
    <t>Scoring logic</t>
  </si>
  <si>
    <t>Emissions impact</t>
  </si>
  <si>
    <t>Higher reduction scores better</t>
  </si>
  <si>
    <t>Macro protection</t>
  </si>
  <si>
    <t>Less negative / more positive GDP impact scores better</t>
  </si>
  <si>
    <t>Equity support</t>
  </si>
  <si>
    <t>Higher household compensation coverage scores better</t>
  </si>
  <si>
    <t>Fiscal capacity</t>
  </si>
  <si>
    <t>Higher net fiscal proceeds scores better</t>
  </si>
  <si>
    <t>Implementation feasibility</t>
  </si>
  <si>
    <t>Manual 1-5 policy judgment</t>
  </si>
  <si>
    <t>WEIGHTED SCORE</t>
  </si>
  <si>
    <t>Highest model score</t>
  </si>
  <si>
    <t>ASSUMPTIONS LOG</t>
  </si>
  <si>
    <t>Green = research anchor; blue = analyst/model input; yellow = key swing variable. All research inputs carry source URLs and comments.</t>
  </si>
  <si>
    <t>Assumption</t>
  </si>
  <si>
    <t>Category</t>
  </si>
  <si>
    <t>Base value</t>
  </si>
  <si>
    <t>Bull value</t>
  </si>
  <si>
    <t>Bear value</t>
  </si>
  <si>
    <t>Unit</t>
  </si>
  <si>
    <t>Source type</t>
  </si>
  <si>
    <t>Source title</t>
  </si>
  <si>
    <t>Citation URL</t>
  </si>
  <si>
    <t>Owner</t>
  </si>
  <si>
    <t>Date set</t>
  </si>
  <si>
    <t>Notes / caveats</t>
  </si>
  <si>
    <t>Baseline GHG emissions</t>
  </si>
  <si>
    <t>Market</t>
  </si>
  <si>
    <t>MtCO2e</t>
  </si>
  <si>
    <t>Research</t>
  </si>
  <si>
    <t>Viet Nam NDC 2022: 2030 BAU</t>
  </si>
  <si>
    <t>https://unfccc.int/sites/default/files/NDC/2022-11/Viet%20Nam_NDC_2022_Eng.pdf</t>
  </si>
  <si>
    <t>High</t>
  </si>
  <si>
    <t>Policy model</t>
  </si>
  <si>
    <t>2030 BAU projection; used to scale absolute emissions outputs.</t>
  </si>
  <si>
    <t>Reference nominal GDP</t>
  </si>
  <si>
    <t>Macro</t>
  </si>
  <si>
    <t>USD bn</t>
  </si>
  <si>
    <t>World Bank: Viet Nam GDP 2024</t>
  </si>
  <si>
    <t>https://data.worldbank.org/country/viet-nam?locations=VN&amp;name_desc=false</t>
  </si>
  <si>
    <t>Used only to translate percentage GDP effects into an indicative USD scale.</t>
  </si>
  <si>
    <t>Anchor carbon price</t>
  </si>
  <si>
    <t>Policy</t>
  </si>
  <si>
    <t>USD/tCO2e</t>
  </si>
  <si>
    <t>VnExpress summary of IPSS-UNDP study</t>
  </si>
  <si>
    <t>https://vnexpress.net/ap-thue-15-usd-moi-tan-co2-co-the-giup-viet-nam-giam-3-phat-thai-5096991.html</t>
  </si>
  <si>
    <t>Medium</t>
  </si>
  <si>
    <t>Calibration point reported by article.</t>
  </si>
  <si>
    <t>Anchor emissions reduction</t>
  </si>
  <si>
    <t>Emissions</t>
  </si>
  <si>
    <t>% of BAU</t>
  </si>
  <si>
    <t>2.9% reduction at USD15/tCO2e.</t>
  </si>
  <si>
    <t>Anchor GDP drag</t>
  </si>
  <si>
    <t>% of GDP</t>
  </si>
  <si>
    <t>GDP could decline 0.8% without suitable offsets.</t>
  </si>
  <si>
    <t>Anchor trade drag</t>
  </si>
  <si>
    <t>% vs baseline</t>
  </si>
  <si>
    <t>Exports-imports reported down around 0.9%.</t>
  </si>
  <si>
    <t>Anchor investment drag</t>
  </si>
  <si>
    <t>Investment reported down around 1.3%.</t>
  </si>
  <si>
    <t>Anchor government revenue index uplift</t>
  </si>
  <si>
    <t>Fiscal</t>
  </si>
  <si>
    <t>Low</t>
  </si>
  <si>
    <t>Article says government revenue rises 0.41%; interpreted as a relative index, not percentage points of GDP.</t>
  </si>
  <si>
    <t>Revenue recycling threshold</t>
  </si>
  <si>
    <t>Equity</t>
  </si>
  <si>
    <t>% of collected revenue</t>
  </si>
  <si>
    <t>30% of proceeds can compensate the lowest-income 50% of households.</t>
  </si>
  <si>
    <t>Bottom households potentially compensated</t>
  </si>
  <si>
    <t>% of households</t>
  </si>
  <si>
    <t>Coverage anchor at the 30% recycling threshold.</t>
  </si>
  <si>
    <t>Efficiency benchmark</t>
  </si>
  <si>
    <t>% energy efficiency gain</t>
  </si>
  <si>
    <t>10% energy saving/efficiency package benchmark.</t>
  </si>
  <si>
    <t>Efficiency GDP benefit at benchmark</t>
  </si>
  <si>
    <t>Study reports 10% efficiency could raise GDP by 1%.</t>
  </si>
  <si>
    <t>NDC unconditional reduction</t>
  </si>
  <si>
    <t>Target</t>
  </si>
  <si>
    <t>Viet Nam NDC 2022</t>
  </si>
  <si>
    <t>15.8% below 2030 BAU.</t>
  </si>
  <si>
    <t>NDC conditional reduction</t>
  </si>
  <si>
    <t>43.5% below 2030 BAU with international support.</t>
  </si>
  <si>
    <t>Pilot annual emissions quota</t>
  </si>
  <si>
    <t>Coverage</t>
  </si>
  <si>
    <t>MtCO2e/year</t>
  </si>
  <si>
    <t>VnExpress: 511 MtCO2e over 2025-2026</t>
  </si>
  <si>
    <t>Annualized from the two-year quota; used as a pilot coverage proxy.</t>
  </si>
  <si>
    <t>Price response exponent</t>
  </si>
  <si>
    <t>Model</t>
  </si>
  <si>
    <t>exponent</t>
  </si>
  <si>
    <t>Model Input</t>
  </si>
  <si>
    <t>Analyst assumption</t>
  </si>
  <si>
    <t>Allows diminishing response as carbon price rises; change in sensitivity analysis.</t>
  </si>
  <si>
    <t>Efficiency-to-emissions pass-through</t>
  </si>
  <si>
    <t>%</t>
  </si>
  <si>
    <t>Share of energy-efficiency gain assumed to translate into economy-wide GHG reduction.</t>
  </si>
  <si>
    <t>Recycling GDP offset at threshold</t>
  </si>
  <si>
    <t>% of carbon-price GDP drag</t>
  </si>
  <si>
    <t>Directional offset only; not stated in the article.</t>
  </si>
  <si>
    <t>SCENARIO CALIBRATION — only four assumptions vary</t>
  </si>
  <si>
    <t>Response multiplier</t>
  </si>
  <si>
    <t>GDP drag multiplier</t>
  </si>
  <si>
    <t>Efficiency realization</t>
  </si>
  <si>
    <t>EMISSIONS IMPACT BUILD-UP</t>
  </si>
  <si>
    <t>Policy-model equivalent of a revenue build-up: each case/scenario is calculated from named input ranges. Formula columns are black; no hardcoded outputs.</t>
  </si>
  <si>
    <t>Price</t>
  </si>
  <si>
    <t>Exemption</t>
  </si>
  <si>
    <t>Recycling</t>
  </si>
  <si>
    <t>Efficiency</t>
  </si>
  <si>
    <t>Collection</t>
  </si>
  <si>
    <t>Leakage</t>
  </si>
  <si>
    <t>Response mult.</t>
  </si>
  <si>
    <t>GDP drag mult.</t>
  </si>
  <si>
    <t>Effective coverage</t>
  </si>
  <si>
    <t>Price reduction</t>
  </si>
  <si>
    <t>Efficiency reduction</t>
  </si>
  <si>
    <t>Gross reduction</t>
  </si>
  <si>
    <t>Net reduction</t>
  </si>
  <si>
    <t>Reduction Mt</t>
  </si>
  <si>
    <t>Residual Mt</t>
  </si>
  <si>
    <t>Taxable Mt</t>
  </si>
  <si>
    <t>Gross revenue $bn</t>
  </si>
  <si>
    <t>Net collected $bn</t>
  </si>
  <si>
    <t>Recycled $bn</t>
  </si>
  <si>
    <t>Net budget $bn</t>
  </si>
  <si>
    <t>Carbon GDP drag</t>
  </si>
  <si>
    <t>Efficiency GDP benefit</t>
  </si>
  <si>
    <t>Recycling GDP offset</t>
  </si>
  <si>
    <t>Net GDP impact</t>
  </si>
  <si>
    <t>GDP impact $bn</t>
  </si>
  <si>
    <t>Trade impact</t>
  </si>
  <si>
    <t>Investment impact</t>
  </si>
  <si>
    <t>Govt revenue index</t>
  </si>
  <si>
    <t>HH compensation</t>
  </si>
  <si>
    <t>NDC progress</t>
  </si>
  <si>
    <t>Revenue/t abated</t>
  </si>
  <si>
    <t>FISCAL PROCEEDS CREATE ROOM FOR COMPENSATION — BUT GROSS TAX COLLECTION IS NOT AN ECONOMIC BENEFIT</t>
  </si>
  <si>
    <t>Policy-model equivalent of cost/investment build-up. Gross proceeds, recycling, and retained budget are shown separately.</t>
  </si>
  <si>
    <t>Interpretation</t>
  </si>
  <si>
    <t>Gross fiscal revenue (USD bn)</t>
  </si>
  <si>
    <t>Mechanical carbon charge on the post-abatement taxable base.</t>
  </si>
  <si>
    <t>Net collected revenue (USD bn)</t>
  </si>
  <si>
    <t>After collection efficiency.</t>
  </si>
  <si>
    <t>Recycled to households/transition (USD bn)</t>
  </si>
  <si>
    <t>Earmarked support; not retained budget.</t>
  </si>
  <si>
    <t>Retained net budget (USD bn)</t>
  </si>
  <si>
    <t>Net collected less recycling.</t>
  </si>
  <si>
    <t>Households potentially compensated (%)</t>
  </si>
  <si>
    <t>Anchored to article: 30% recycling can compensate bottom 50%.</t>
  </si>
  <si>
    <t>Fiscal revenue per tonne abated (USD/t)</t>
  </si>
  <si>
    <t>A fiscal-yield metric, not marginal abatement cost.</t>
  </si>
  <si>
    <t>EQUITY DESIGN TEST</t>
  </si>
  <si>
    <t>Recycling share required to reach bottom 50%</t>
  </si>
  <si>
    <t>Just-transition recycling share</t>
  </si>
  <si>
    <t>Threshold met?</t>
  </si>
  <si>
    <t>EFFICIENCY IS THE PRIMARY MODELLED BRIDGE FROM A CARBON-PRICE GDP DRAG TO A GROWTH-NEUTRAL PACKAGE</t>
  </si>
  <si>
    <t>Policy-model equivalent of a P&amp;L waterfall. GDP effects are additive directional proxies, not a full general-equilibrium forecast.</t>
  </si>
  <si>
    <t>Macro component</t>
  </si>
  <si>
    <t>Source / treatment</t>
  </si>
  <si>
    <t>Carbon-price GDP drag (%)</t>
  </si>
  <si>
    <t>IPSS anchor scaled by price, effective coverage, and scenario drag multiplier.</t>
  </si>
  <si>
    <t>Efficiency GDP benefit (%)</t>
  </si>
  <si>
    <t>IPSS anchor: 10% efficiency -&gt; +1% GDP, scaled linearly.</t>
  </si>
  <si>
    <t>Recycling GDP offset (%)</t>
  </si>
  <si>
    <t>Low-confidence model assumption: partial offset of carbon-price drag.</t>
  </si>
  <si>
    <t>NET GDP IMPACT (%)</t>
  </si>
  <si>
    <t>Sum of the three components.</t>
  </si>
  <si>
    <t>Applied to 2024 GDP only as an indicative scale proxy.</t>
  </si>
  <si>
    <t>Trade impact (%)</t>
  </si>
  <si>
    <t>IPSS -0.9% anchor scaled with price and effective coverage.</t>
  </si>
  <si>
    <t>Investment impact (%)</t>
  </si>
  <si>
    <t>IPSS -1.3% anchor scaled with price and effective coverage.</t>
  </si>
  <si>
    <t>Government revenue index impact (%)</t>
  </si>
  <si>
    <t>Separate from mechanical tax proceeds; follows IPSS +0.41% anchor.</t>
  </si>
  <si>
    <t>CARBON PRICING CLOSES ONLY PART OF THE NDC GAP — POLICY YIELD, NOT FINANCIAL ROI, IS THE RELEVANT TEST</t>
  </si>
  <si>
    <t>Policy-model equivalent of ROI/payback. It compares abatement and fiscal yield against Viet Nam's 2030 NDC reductions.</t>
  </si>
  <si>
    <t>Benchmark / implication</t>
  </si>
  <si>
    <t>Absolute abatement from 2030 BAU baseline.</t>
  </si>
  <si>
    <t>Unconditional NDC progress (%)</t>
  </si>
  <si>
    <t>Share of 146.3 MtCO2e unconditional reduction.</t>
  </si>
  <si>
    <t>Conditional NDC progress (%)</t>
  </si>
  <si>
    <t>Share of 403.7 MtCO2e conditional reduction.</t>
  </si>
  <si>
    <t>Potential fiscal capacity before recycling.</t>
  </si>
  <si>
    <t>Fiscal revenue / tonne abated (USD/t)</t>
  </si>
  <si>
    <t>Not an abatement cost; shows tax-base-to-abatement relationship.</t>
  </si>
  <si>
    <t>NDC BENCHMARKS</t>
  </si>
  <si>
    <t>2030 BAU emissions (MtCO2e)</t>
  </si>
  <si>
    <t>Unconditional reduction target (MtCO2e)</t>
  </si>
  <si>
    <t>Conditional reduction target (MtCO2e)</t>
  </si>
  <si>
    <t>PRICE ALONE HAS DIMINISHING RETURNS; COVERAGE, EFFICIENCY, AND RESPONSE DETERMINE THE OUTPUT RANGE</t>
  </si>
  <si>
    <t>All tables are formula-based (no unsupported Excel data-table feature). Edit the central assumptions in Assumptions Log or case levers in Scenario Comparison.</t>
  </si>
  <si>
    <t>ONE-WAY PRICE SENSITIVITY — JUST-TRANSITION DESIGN</t>
  </si>
  <si>
    <t>Carbon price (USD/tCO2e)</t>
  </si>
  <si>
    <t>TWO-WAY SENSITIVITY — NET EMISSIONS REDUCTION (%)</t>
  </si>
  <si>
    <t>Price / coverage</t>
  </si>
  <si>
    <t>TORNADO INPUTS — JUST-TRANSITION BASE CASE ±20%</t>
  </si>
  <si>
    <t>Driver</t>
  </si>
  <si>
    <t>Low input</t>
  </si>
  <si>
    <t>Base input</t>
  </si>
  <si>
    <t>High input</t>
  </si>
  <si>
    <t>Low emissions reduction (%)</t>
  </si>
  <si>
    <t>Base emissions reduction (%)</t>
  </si>
  <si>
    <t>High emissions reduction (%)</t>
  </si>
  <si>
    <t>Low GDP impact (%)</t>
  </si>
  <si>
    <t>Base GDP impact (%)</t>
  </si>
  <si>
    <t>High GDP impact (%)</t>
  </si>
  <si>
    <t>Carbon price</t>
  </si>
  <si>
    <t>Efficiency gain</t>
  </si>
  <si>
    <t>DATA SOURCES &amp; CITATION REGISTRY</t>
  </si>
  <si>
    <t>Primary sources are preferred. The VnExpress article is used for the newly reported IPSS-UNDP calibration because the underlying study was not publicly indexed at build time.</t>
  </si>
  <si>
    <t>ID</t>
  </si>
  <si>
    <t>Source</t>
  </si>
  <si>
    <t>Publisher</t>
  </si>
  <si>
    <t>Date / period</t>
  </si>
  <si>
    <t>URL</t>
  </si>
  <si>
    <t>Model use</t>
  </si>
  <si>
    <t>Caveat</t>
  </si>
  <si>
    <t>‘Áp thuế 15 USD mỗi tấn CO2…’</t>
  </si>
  <si>
    <t>VnExpress / IPSS-UNDP study summary</t>
  </si>
  <si>
    <t>13 Jul 2026</t>
  </si>
  <si>
    <t>$15 calibration; macro impacts; recycling and efficiency anchors</t>
  </si>
  <si>
    <t>Secondary report of a newly released study; underlying model tables unavailable.</t>
  </si>
  <si>
    <t>Government of Viet Nam / UNFCCC</t>
  </si>
  <si>
    <t>2022; 2030 BAU</t>
  </si>
  <si>
    <t>BAU emissions, sector values, NDC reductions</t>
  </si>
  <si>
    <t>BAU projection, not observed emissions.</t>
  </si>
  <si>
    <t>Viet Nam country data</t>
  </si>
  <si>
    <t>World Bank</t>
  </si>
  <si>
    <t>2024</t>
  </si>
  <si>
    <t>Used only as an indicative USD scale proxy.</t>
  </si>
  <si>
    <t>Viet Nam 2045: Growing Greener</t>
  </si>
  <si>
    <t>2025</t>
  </si>
  <si>
    <t>https://www.worldbank.org/en/country/vietnam/publication/viet-nam-2045-growing-greener-pathways-to-a-resilient-and-sustainable-future</t>
  </si>
  <si>
    <t>Policy triangulation and carbon-pricing context</t>
  </si>
  <si>
    <t>Not used to overwrite the article's IPSS calibration.</t>
  </si>
  <si>
    <t>Estimating CO2 emission and revenue effects of carbon pricing</t>
  </si>
  <si>
    <t>OECD</t>
  </si>
  <si>
    <t>2022</t>
  </si>
  <si>
    <t>https://www.oecd.org/en/publications/estimating-the-co2-emission-and-revenue-effects-of-carbon-pricing_39aa16d4-en.html</t>
  </si>
  <si>
    <t>External reasonableness check</t>
  </si>
  <si>
    <t>Cross-country long-term estimate; not directly transferable to Viet Nam.</t>
  </si>
  <si>
    <t>METHODOLOGY, LIMITATIONS, AND VERSION HISTORY</t>
  </si>
  <si>
    <t>This workbook is designed to test a thesis transparently—not to reproduce the unpublished IPSS CGE model.</t>
  </si>
  <si>
    <t>1. CORE EQUATIONS</t>
  </si>
  <si>
    <t>• Price-driven reduction = 2.9% × (price / $15)^price exponent × effective coverage × response multiplier.</t>
  </si>
  <si>
    <t>• Efficiency reduction = efficiency gain × efficiency-to-emissions pass-through × scenario realization.</t>
  </si>
  <si>
    <t>• Net reduction = (price reduction + efficiency reduction) × (1 − leakage).</t>
  </si>
  <si>
    <t>• Net GDP impact = carbon-price drag + efficiency benefit + recycling offset.</t>
  </si>
  <si>
    <t>• Tax proceeds = carbon price × post-abatement taxable emissions × collection efficiency.</t>
  </si>
  <si>
    <t>2. INTERPRETATION</t>
  </si>
  <si>
    <t>• The $15 tax-only/Base case is the direct article-thesis replication.</t>
  </si>
  <si>
    <t>• The just-transition case tests the article's policy recommendation: recycle 30% and add efficiency measures.</t>
  </si>
  <si>
    <t>• Gross tax proceeds are transfers to government, not social welfare gains; climate and health benefits are not monetized.</t>
  </si>
  <si>
    <t>• The GDP dollar impact uses 2024 nominal GDP only as a scale proxy; it does not convert the IPSS model into a 2024 forecast.</t>
  </si>
  <si>
    <t>3. KEY LIMITATIONS</t>
  </si>
  <si>
    <t>• The underlying IPSS-UNDP research tables and sector elasticities were not publicly indexed at build time.</t>
  </si>
  <si>
    <t>• Price response, recycling GDP offset, efficiency pass-through, leakage, and feasibility scores are explicit analyst assumptions.</t>
  </si>
  <si>
    <t>• Sector incidence allocates national reduction using response weights; it is not a sector general-equilibrium model.</t>
  </si>
  <si>
    <t>• No distributional microdata, commodity price pass-through, health co-benefits, or carbon-border effects are modeled.</t>
  </si>
  <si>
    <t>• Avoid adding the mechanical fiscal revenue to GDP benefits; doing so would double-count a transfer.</t>
  </si>
  <si>
    <t>4. DECISION USE</t>
  </si>
  <si>
    <t>• Use for policy option screening, stakeholder discussion, and identifying the inputs that require primary research.</t>
  </si>
  <si>
    <t>• Do not use as a statutory revenue forecast, budget score, or final welfare analysis without the underlying CGE model and administrative tax base.</t>
  </si>
  <si>
    <t>5. VERSION HISTORY</t>
  </si>
  <si>
    <t>Version</t>
  </si>
  <si>
    <t>Date</t>
  </si>
  <si>
    <t>Change</t>
  </si>
  <si>
    <t>Author</t>
  </si>
  <si>
    <t>v1.0</t>
  </si>
  <si>
    <t>Initial five-case, three-scenario thesis simulation</t>
  </si>
  <si>
    <t>Codex</t>
  </si>
  <si>
    <t>ENERGY AND INDUSTRIAL PROCESSES CARRY MOST OF THE PRICE SIGNAL AND ABATEMENT BURDEN</t>
  </si>
  <si>
    <t>Sector allocation uses NDC 2030 BAU values and explicit response weights. It is an incidence illustration, not a sector CGE model.</t>
  </si>
  <si>
    <t>Sector</t>
  </si>
  <si>
    <t>2030 BAU (MtCO2e)</t>
  </si>
  <si>
    <t>Share of positive emissions (%)</t>
  </si>
  <si>
    <t>Response weight (x)</t>
  </si>
  <si>
    <t>Weighted response share (%)</t>
  </si>
  <si>
    <t>Just-transition reduction (MtCO2e)</t>
  </si>
  <si>
    <t>Residual emissions (MtCO2e)</t>
  </si>
  <si>
    <t>Indicative gross charge (USD bn)</t>
  </si>
  <si>
    <t>Incidence note</t>
  </si>
  <si>
    <t>Energy</t>
  </si>
  <si>
    <t>Power, fuel combustion, transport and industrial energy</t>
  </si>
  <si>
    <t>Agriculture</t>
  </si>
  <si>
    <t>Lower direct price responsiveness; non-CO2 gases dominate</t>
  </si>
  <si>
    <t>Waste</t>
  </si>
  <si>
    <t>Moderate response where methane capture is economic</t>
  </si>
  <si>
    <t>Industrial processes</t>
  </si>
  <si>
    <t>Cement, steel, chemicals and HFCs</t>
  </si>
  <si>
    <t>TOTAL</t>
  </si>
  <si>
    <t>LULUCF note</t>
  </si>
  <si>
    <t>The NDC includes a -49.2 MtCO2e land-use sink in the 927.9 MtCO2e total. The incidence table excludes that negative sink from the taxable sector allocation.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</si>
</sst>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yyyy\-mm\-dd"/>
    <numFmt numFmtId="165" formatCode="dd\ mmm\ yyyy"/>
    <numFmt numFmtId="166" formatCode="#,##0.0;[Red]\(#,##0.0\);&quot;-&quot;"/>
    <numFmt numFmtId="167" formatCode="0.0%"/>
    <numFmt numFmtId="168" formatCode="0.0\x"/>
    <numFmt numFmtId="169" formatCode="0.00\x"/>
  </numFmts>
  <fonts count="17" x14ac:knownFonts="1">
    <font>
      <sz val="11"/>
      <color theme="1"/>
      <name val="Calibri"/>
      <family val="2"/>
      <scheme val="minor"/>
    </font>
    <font>
      <b/>
      <sz val="22"/>
      <color rgb="FFFFFFFF"/>
      <name val="Roboto"/>
    </font>
    <font>
      <b/>
      <sz val="9"/>
      <color rgb="FF006850"/>
      <name val="Roboto"/>
    </font>
    <font>
      <sz val="9"/>
      <name val="Roboto"/>
    </font>
    <font>
      <b/>
      <sz val="16"/>
      <color rgb="FFFFFFFF"/>
      <name val="Roboto"/>
    </font>
    <font>
      <i/>
      <sz val="9"/>
      <color rgb="FF7F7F7F"/>
      <name val="Roboto"/>
    </font>
    <font>
      <b/>
      <sz val="9"/>
      <color rgb="FF000000"/>
      <name val="Roboto"/>
    </font>
    <font>
      <b/>
      <sz val="9"/>
      <color rgb="FFFFFFFF"/>
      <name val="Roboto"/>
    </font>
    <font>
      <sz val="9"/>
      <color rgb="FF000000"/>
      <name val="Roboto"/>
    </font>
    <font>
      <sz val="9"/>
      <color rgb="FF375623"/>
      <name val="Roboto"/>
    </font>
    <font>
      <sz val="9"/>
      <color rgb="FF1F5C9E"/>
      <name val="Roboto"/>
    </font>
    <font>
      <sz val="10"/>
      <color rgb="FF000000"/>
      <name val="Roboto"/>
    </font>
    <font>
      <b/>
      <sz val="9"/>
      <name val="Roboto"/>
    </font>
    <font>
      <b/>
      <sz val="11"/>
      <color rgb="FF006850"/>
      <name val="Roboto"/>
    </font>
    <font>
      <b/>
      <sz val="11"/>
      <name val="Roboto"/>
    </font>
    <font>
      <b/>
      <sz val="11"/>
      <color rgb="FF006850"/>
      <name val="Roboto"/>
    </font>
    <font>
      <sz val="12"/>
      <color theme="1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1F2227"/>
      </patternFill>
    </fill>
    <fill>
      <patternFill patternType="solid">
        <fgColor rgb="FFE7E6E6"/>
      </patternFill>
    </fill>
    <fill>
      <patternFill patternType="solid">
        <fgColor rgb="FF006850"/>
      </patternFill>
    </fill>
    <fill>
      <patternFill patternType="solid">
        <fgColor rgb="FF2C6FA6"/>
      </patternFill>
    </fill>
    <fill>
      <patternFill patternType="solid">
        <fgColor rgb="FFD4891A"/>
      </patternFill>
    </fill>
    <fill>
      <patternFill patternType="solid">
        <fgColor rgb="FFD9EAD3"/>
      </patternFill>
    </fill>
    <fill>
      <patternFill patternType="solid">
        <fgColor rgb="FFFFF2CC"/>
      </patternFill>
    </fill>
    <fill>
      <patternFill patternType="solid">
        <fgColor rgb="FF404040"/>
      </patternFill>
    </fill>
    <fill>
      <patternFill patternType="solid">
        <fgColor rgb="FFDCE6F1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/>
      <top/>
      <bottom style="thin">
        <color rgb="FFBFBFBF"/>
      </bottom>
      <diagonal/>
    </border>
    <border>
      <left/>
      <right/>
      <top style="medium">
        <color rgb="FF000000"/>
      </top>
      <bottom style="thin">
        <color rgb="FFBFBFBF"/>
      </bottom>
      <diagonal/>
    </border>
  </borders>
  <cellStyleXfs count="2">
    <xf numFmtId="0" fontId="0" fillId="0" borderId="0"/>
    <xf numFmtId="0" fontId="16" fillId="0" borderId="0"/>
  </cellStyleXfs>
  <cellXfs count="54">
    <xf numFmtId="0" fontId="0" fillId="0" borderId="0" xfId="0"/>
    <xf numFmtId="0" fontId="2" fillId="0" borderId="0" xfId="0" applyFont="1"/>
    <xf numFmtId="0" fontId="3" fillId="0" borderId="0" xfId="0" applyFont="1" applyAlignment="1">
      <alignment vertical="top" wrapText="1"/>
    </xf>
    <xf numFmtId="165" fontId="3" fillId="0" borderId="0" xfId="0" applyNumberFormat="1" applyFont="1" applyAlignment="1">
      <alignment vertical="top" wrapText="1"/>
    </xf>
    <xf numFmtId="0" fontId="6" fillId="3" borderId="1" xfId="0" applyFont="1" applyFill="1" applyBorder="1" applyAlignment="1">
      <alignment horizontal="center" vertical="center" wrapText="1"/>
    </xf>
    <xf numFmtId="0" fontId="7" fillId="9" borderId="1" xfId="0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12" fillId="0" borderId="0" xfId="0" applyFont="1"/>
    <xf numFmtId="167" fontId="8" fillId="0" borderId="0" xfId="0" applyNumberFormat="1" applyFont="1"/>
    <xf numFmtId="166" fontId="8" fillId="0" borderId="0" xfId="0" applyNumberFormat="1" applyFont="1"/>
    <xf numFmtId="9" fontId="8" fillId="0" borderId="0" xfId="0" applyNumberFormat="1" applyFont="1"/>
    <xf numFmtId="0" fontId="8" fillId="0" borderId="0" xfId="0" applyFont="1" applyAlignment="1">
      <alignment vertical="top" wrapText="1"/>
    </xf>
    <xf numFmtId="0" fontId="10" fillId="10" borderId="0" xfId="0" applyFont="1" applyFill="1" applyAlignment="1">
      <alignment vertical="top"/>
    </xf>
    <xf numFmtId="167" fontId="10" fillId="10" borderId="0" xfId="0" applyNumberFormat="1" applyFont="1" applyFill="1" applyAlignment="1">
      <alignment vertical="top"/>
    </xf>
    <xf numFmtId="0" fontId="7" fillId="4" borderId="0" xfId="0" applyFont="1" applyFill="1"/>
    <xf numFmtId="167" fontId="0" fillId="0" borderId="0" xfId="0" applyNumberFormat="1"/>
    <xf numFmtId="166" fontId="0" fillId="0" borderId="0" xfId="0" applyNumberFormat="1"/>
    <xf numFmtId="9" fontId="0" fillId="0" borderId="0" xfId="0" applyNumberFormat="1"/>
    <xf numFmtId="0" fontId="0" fillId="0" borderId="0" xfId="0" applyAlignment="1">
      <alignment wrapText="1"/>
    </xf>
    <xf numFmtId="0" fontId="7" fillId="5" borderId="0" xfId="0" applyFont="1" applyFill="1"/>
    <xf numFmtId="0" fontId="7" fillId="6" borderId="0" xfId="0" applyFont="1" applyFill="1"/>
    <xf numFmtId="9" fontId="10" fillId="10" borderId="0" xfId="0" applyNumberFormat="1" applyFont="1" applyFill="1"/>
    <xf numFmtId="168" fontId="0" fillId="0" borderId="0" xfId="0" applyNumberFormat="1"/>
    <xf numFmtId="169" fontId="14" fillId="0" borderId="3" xfId="0" applyNumberFormat="1" applyFont="1" applyBorder="1"/>
    <xf numFmtId="0" fontId="8" fillId="0" borderId="0" xfId="0" applyFont="1" applyAlignment="1">
      <alignment vertical="top"/>
    </xf>
    <xf numFmtId="166" fontId="9" fillId="7" borderId="0" xfId="0" applyNumberFormat="1" applyFont="1" applyFill="1" applyAlignment="1">
      <alignment vertical="top"/>
    </xf>
    <xf numFmtId="164" fontId="8" fillId="0" borderId="0" xfId="0" applyNumberFormat="1" applyFont="1" applyAlignment="1">
      <alignment vertical="top"/>
    </xf>
    <xf numFmtId="166" fontId="9" fillId="8" borderId="0" xfId="0" applyNumberFormat="1" applyFont="1" applyFill="1" applyAlignment="1">
      <alignment vertical="top"/>
    </xf>
    <xf numFmtId="167" fontId="9" fillId="8" borderId="0" xfId="0" applyNumberFormat="1" applyFont="1" applyFill="1" applyAlignment="1">
      <alignment vertical="top"/>
    </xf>
    <xf numFmtId="167" fontId="9" fillId="7" borderId="0" xfId="0" applyNumberFormat="1" applyFont="1" applyFill="1" applyAlignment="1">
      <alignment vertical="top"/>
    </xf>
    <xf numFmtId="166" fontId="10" fillId="8" borderId="0" xfId="0" applyNumberFormat="1" applyFont="1" applyFill="1" applyAlignment="1">
      <alignment vertical="top"/>
    </xf>
    <xf numFmtId="167" fontId="10" fillId="8" borderId="0" xfId="0" applyNumberFormat="1" applyFont="1" applyFill="1" applyAlignment="1">
      <alignment vertical="top"/>
    </xf>
    <xf numFmtId="0" fontId="10" fillId="8" borderId="0" xfId="0" applyFont="1" applyFill="1" applyAlignment="1">
      <alignment vertical="top"/>
    </xf>
    <xf numFmtId="9" fontId="10" fillId="8" borderId="0" xfId="0" applyNumberFormat="1" applyFont="1" applyFill="1" applyAlignment="1">
      <alignment vertical="top"/>
    </xf>
    <xf numFmtId="167" fontId="8" fillId="0" borderId="0" xfId="0" applyNumberFormat="1" applyFont="1" applyAlignment="1">
      <alignment vertical="top"/>
    </xf>
    <xf numFmtId="166" fontId="8" fillId="0" borderId="0" xfId="0" applyNumberFormat="1" applyFont="1" applyAlignment="1">
      <alignment vertical="top"/>
    </xf>
    <xf numFmtId="0" fontId="14" fillId="0" borderId="3" xfId="0" applyFont="1" applyBorder="1"/>
    <xf numFmtId="167" fontId="14" fillId="0" borderId="3" xfId="0" applyNumberFormat="1" applyFont="1" applyBorder="1"/>
    <xf numFmtId="0" fontId="10" fillId="10" borderId="0" xfId="0" applyFont="1" applyFill="1"/>
    <xf numFmtId="0" fontId="16" fillId="0" borderId="0" xfId="1"/>
    <xf numFmtId="165" fontId="0" fillId="0" borderId="0" xfId="0" applyNumberFormat="1"/>
    <xf numFmtId="166" fontId="10" fillId="10" borderId="0" xfId="0" applyNumberFormat="1" applyFont="1" applyFill="1"/>
    <xf numFmtId="0" fontId="1" fillId="2" borderId="0" xfId="0" applyFont="1" applyFill="1" applyAlignment="1">
      <alignment vertical="center" wrapText="1"/>
    </xf>
    <xf numFmtId="0" fontId="0" fillId="0" borderId="0" xfId="0"/>
    <xf numFmtId="0" fontId="5" fillId="0" borderId="0" xfId="0" applyFont="1" applyAlignment="1">
      <alignment vertical="top" wrapText="1"/>
    </xf>
    <xf numFmtId="0" fontId="11" fillId="0" borderId="0" xfId="0" applyFont="1" applyAlignment="1">
      <alignment vertical="top" wrapText="1"/>
    </xf>
    <xf numFmtId="0" fontId="13" fillId="0" borderId="0" xfId="0" applyFont="1" applyAlignment="1">
      <alignment vertical="center" wrapText="1"/>
    </xf>
    <xf numFmtId="0" fontId="7" fillId="9" borderId="2" xfId="0" applyFont="1" applyFill="1" applyBorder="1" applyAlignment="1">
      <alignment vertical="center"/>
    </xf>
    <xf numFmtId="0" fontId="4" fillId="2" borderId="0" xfId="0" applyFont="1" applyFill="1" applyAlignment="1">
      <alignment vertical="center"/>
    </xf>
    <xf numFmtId="0" fontId="15" fillId="7" borderId="0" xfId="0" applyFont="1" applyFill="1"/>
    <xf numFmtId="0" fontId="0" fillId="0" borderId="0" xfId="0" applyAlignment="1">
      <alignment vertical="top" wrapText="1"/>
    </xf>
    <xf numFmtId="0" fontId="0" fillId="0" borderId="0" xfId="0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t>Base-case emissions reduction by policy package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spPr>
            <a:ln>
              <a:prstDash val="solid"/>
            </a:ln>
          </c:spPr>
          <c:invertIfNegative val="1"/>
          <c:cat>
            <c:strRef>
              <c:f>'Executive Summary'!$B$12:$F$12</c:f>
              <c:strCache>
                <c:ptCount val="5"/>
                <c:pt idx="0">
                  <c:v>Pilot ETS</c:v>
                </c:pt>
                <c:pt idx="1">
                  <c:v>$15 Tax Only</c:v>
                </c:pt>
                <c:pt idx="2">
                  <c:v>$15 Just Transition</c:v>
                </c:pt>
                <c:pt idx="3">
                  <c:v>$15 Protected</c:v>
                </c:pt>
                <c:pt idx="4">
                  <c:v>$30 Accelerated</c:v>
                </c:pt>
              </c:strCache>
            </c:strRef>
          </c:cat>
          <c:val>
            <c:numRef>
              <c:f>'Executive Summary'!$B$13:$F$13</c:f>
              <c:numCache>
                <c:formatCode>0.0%</c:formatCode>
                <c:ptCount val="5"/>
                <c:pt idx="0">
                  <c:v>5.3021744860826149E-3</c:v>
                </c:pt>
                <c:pt idx="1">
                  <c:v>2.9000000000000001E-2</c:v>
                </c:pt>
                <c:pt idx="2">
                  <c:v>5.6049999999999996E-2</c:v>
                </c:pt>
                <c:pt idx="3">
                  <c:v>3.6991999999999997E-2</c:v>
                </c:pt>
                <c:pt idx="4">
                  <c:v>0.10665890048985675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AA7-43CB-AE03-56D907350B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Reduction (%)</a:t>
                </a:r>
              </a:p>
            </c:rich>
          </c:tx>
          <c:overlay val="1"/>
        </c:title>
        <c:numFmt formatCode="0.0%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Price sensitivity: emissions reduction and GDP impact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'Sensitivity Analysis'!$B$5</c:f>
              <c:strCache>
                <c:ptCount val="1"/>
                <c:pt idx="0">
                  <c:v>Net emissions reduction (%)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'Sensitivity Analysis'!$A$6:$A$12</c:f>
              <c:numCache>
                <c:formatCode>General</c:formatCode>
                <c:ptCount val="7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30</c:v>
                </c:pt>
                <c:pt idx="6">
                  <c:v>50</c:v>
                </c:pt>
              </c:numCache>
            </c:numRef>
          </c:cat>
          <c:val>
            <c:numRef>
              <c:f>'Sensitivity Analysis'!$B$6:$B$12</c:f>
              <c:numCache>
                <c:formatCode>0.0%</c:formatCode>
                <c:ptCount val="7"/>
                <c:pt idx="0">
                  <c:v>2.8499999999999998E-2</c:v>
                </c:pt>
                <c:pt idx="1">
                  <c:v>3.9328505879507217E-2</c:v>
                </c:pt>
                <c:pt idx="2">
                  <c:v>4.801839186657994E-2</c:v>
                </c:pt>
                <c:pt idx="3">
                  <c:v>5.6049999999999996E-2</c:v>
                </c:pt>
                <c:pt idx="4">
                  <c:v>6.3681919398349288E-2</c:v>
                </c:pt>
                <c:pt idx="5">
                  <c:v>7.8158900489856756E-2</c:v>
                </c:pt>
                <c:pt idx="6">
                  <c:v>0.10515995088575984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C96-4B0E-9ABA-19DD582C0CB2}"/>
            </c:ext>
          </c:extLst>
        </c:ser>
        <c:ser>
          <c:idx val="1"/>
          <c:order val="1"/>
          <c:tx>
            <c:strRef>
              <c:f>'Sensitivity Analysis'!$C$5</c:f>
              <c:strCache>
                <c:ptCount val="1"/>
                <c:pt idx="0">
                  <c:v>Reduction (MtCO2e)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'Sensitivity Analysis'!$A$6:$A$12</c:f>
              <c:numCache>
                <c:formatCode>General</c:formatCode>
                <c:ptCount val="7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30</c:v>
                </c:pt>
                <c:pt idx="6">
                  <c:v>50</c:v>
                </c:pt>
              </c:numCache>
            </c:numRef>
          </c:cat>
          <c:val>
            <c:numRef>
              <c:f>'Sensitivity Analysis'!$C$6:$C$12</c:f>
              <c:numCache>
                <c:formatCode>#,##0.0;[Red]\(#,##0.0\);"-"</c:formatCode>
                <c:ptCount val="7"/>
                <c:pt idx="0">
                  <c:v>26.445149999999998</c:v>
                </c:pt>
                <c:pt idx="1">
                  <c:v>36.492920605594747</c:v>
                </c:pt>
                <c:pt idx="2">
                  <c:v>44.556265812999527</c:v>
                </c:pt>
                <c:pt idx="3">
                  <c:v>52.008794999999992</c:v>
                </c:pt>
                <c:pt idx="4">
                  <c:v>59.0904530097283</c:v>
                </c:pt>
                <c:pt idx="5">
                  <c:v>72.523643764538079</c:v>
                </c:pt>
                <c:pt idx="6">
                  <c:v>97.577918426896559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AC96-4B0E-9ABA-19DD582C0CB2}"/>
            </c:ext>
          </c:extLst>
        </c:ser>
        <c:ser>
          <c:idx val="2"/>
          <c:order val="2"/>
          <c:tx>
            <c:strRef>
              <c:f>'Sensitivity Analysis'!$D$5</c:f>
              <c:strCache>
                <c:ptCount val="1"/>
                <c:pt idx="0">
                  <c:v>Net GDP impact (%)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'Sensitivity Analysis'!$A$6:$A$12</c:f>
              <c:numCache>
                <c:formatCode>General</c:formatCode>
                <c:ptCount val="7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30</c:v>
                </c:pt>
                <c:pt idx="6">
                  <c:v>50</c:v>
                </c:pt>
              </c:numCache>
            </c:numRef>
          </c:cat>
          <c:val>
            <c:numRef>
              <c:f>'Sensitivity Analysis'!$D$6:$D$12</c:f>
              <c:numCache>
                <c:formatCode>0.0%</c:formatCode>
                <c:ptCount val="7"/>
                <c:pt idx="0">
                  <c:v>5.0000000000000001E-3</c:v>
                </c:pt>
                <c:pt idx="1">
                  <c:v>2.6417047086372673E-3</c:v>
                </c:pt>
                <c:pt idx="2">
                  <c:v>7.4917055537278895E-4</c:v>
                </c:pt>
                <c:pt idx="3">
                  <c:v>-1E-3</c:v>
                </c:pt>
                <c:pt idx="4">
                  <c:v>-2.6621240069000253E-3</c:v>
                </c:pt>
                <c:pt idx="5">
                  <c:v>-5.8150055513299615E-3</c:v>
                </c:pt>
                <c:pt idx="6">
                  <c:v>-1.1695452098532087E-2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AC96-4B0E-9ABA-19DD582C0C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Carbon price (USD/tCO2e)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Impact (%)</a:t>
                </a:r>
              </a:p>
            </c:rich>
          </c:tx>
          <c:overlay val="1"/>
        </c:title>
        <c:numFmt formatCode="0.0%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11</xdr:row>
      <xdr:rowOff>0</xdr:rowOff>
    </xdr:from>
    <xdr:ext cx="4140000" cy="1728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4</xdr:row>
      <xdr:rowOff>0</xdr:rowOff>
    </xdr:from>
    <xdr:ext cx="5040000" cy="25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hyperlink" Target="https://data.worldbank.org/country/viet-nam?locations=VN&amp;name_desc=false" TargetMode="External"/><Relationship Id="rId2" Type="http://schemas.openxmlformats.org/officeDocument/2006/relationships/hyperlink" Target="https://unfccc.int/sites/default/files/NDC/2022-11/Viet%20Nam_NDC_2022_Eng.pdf" TargetMode="External"/><Relationship Id="rId1" Type="http://schemas.openxmlformats.org/officeDocument/2006/relationships/hyperlink" Target="https://vnexpress.net/ap-thue-15-usd-moi-tan-co2-co-the-giup-viet-nam-giam-3-phat-thai-5096991.html" TargetMode="External"/><Relationship Id="rId5" Type="http://schemas.openxmlformats.org/officeDocument/2006/relationships/hyperlink" Target="https://www.oecd.org/en/publications/estimating-the-co2-emission-and-revenue-effects-of-carbon-pricing_39aa16d4-en.html" TargetMode="External"/><Relationship Id="rId4" Type="http://schemas.openxmlformats.org/officeDocument/2006/relationships/hyperlink" Target="https://www.worldbank.org/en/country/vietnam/publication/viet-nam-2045-growing-greener-pathways-to-a-resilient-and-sustainable-future" TargetMode="Externa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2227"/>
  </sheetPr>
  <dimension ref="B2:C14"/>
  <sheetViews>
    <sheetView showGridLines="0" tabSelected="1" workbookViewId="0"/>
  </sheetViews>
  <sheetFormatPr defaultRowHeight="15" x14ac:dyDescent="0.25"/>
  <cols>
    <col min="1" max="1" width="3" customWidth="1"/>
    <col min="2" max="2" width="28" customWidth="1"/>
    <col min="3" max="3" width="66" customWidth="1"/>
  </cols>
  <sheetData>
    <row r="2" spans="2:3" ht="32.1" customHeight="1" x14ac:dyDescent="0.25">
      <c r="B2" s="44" t="s">
        <v>0</v>
      </c>
      <c r="C2" s="45"/>
    </row>
    <row r="3" spans="2:3" ht="32.1" customHeight="1" x14ac:dyDescent="0.25">
      <c r="B3" s="45"/>
      <c r="C3" s="45"/>
    </row>
    <row r="4" spans="2:3" ht="32.1" customHeight="1" x14ac:dyDescent="0.25">
      <c r="B4" s="45"/>
      <c r="C4" s="45"/>
    </row>
    <row r="6" spans="2:3" ht="27.95" customHeight="1" x14ac:dyDescent="0.25">
      <c r="B6" s="1" t="s">
        <v>1</v>
      </c>
      <c r="C6" s="2" t="s">
        <v>2</v>
      </c>
    </row>
    <row r="7" spans="2:3" ht="27.95" customHeight="1" x14ac:dyDescent="0.25">
      <c r="B7" s="1" t="s">
        <v>3</v>
      </c>
      <c r="C7" s="2" t="s">
        <v>4</v>
      </c>
    </row>
    <row r="8" spans="2:3" ht="27.95" customHeight="1" x14ac:dyDescent="0.25">
      <c r="B8" s="1" t="s">
        <v>5</v>
      </c>
      <c r="C8" s="2" t="s">
        <v>6</v>
      </c>
    </row>
    <row r="9" spans="2:3" ht="20.100000000000001" customHeight="1" x14ac:dyDescent="0.25">
      <c r="B9" s="1" t="s">
        <v>7</v>
      </c>
      <c r="C9" s="2" t="s">
        <v>8</v>
      </c>
    </row>
    <row r="10" spans="2:3" ht="20.100000000000001" customHeight="1" x14ac:dyDescent="0.25">
      <c r="B10" s="1" t="s">
        <v>9</v>
      </c>
      <c r="C10" s="3">
        <v>46217</v>
      </c>
    </row>
    <row r="11" spans="2:3" ht="20.100000000000001" customHeight="1" x14ac:dyDescent="0.25">
      <c r="B11" s="1"/>
      <c r="C11" s="2"/>
    </row>
    <row r="12" spans="2:3" ht="27.95" customHeight="1" x14ac:dyDescent="0.25">
      <c r="B12" s="1" t="s">
        <v>10</v>
      </c>
      <c r="C12" s="2" t="s">
        <v>11</v>
      </c>
    </row>
    <row r="13" spans="2:3" ht="20.100000000000001" customHeight="1" x14ac:dyDescent="0.25">
      <c r="B13" s="1"/>
      <c r="C13" s="2"/>
    </row>
    <row r="14" spans="2:3" ht="27.95" customHeight="1" x14ac:dyDescent="0.25">
      <c r="B14" s="1" t="s">
        <v>12</v>
      </c>
      <c r="C14" s="2" t="s">
        <v>13</v>
      </c>
    </row>
  </sheetData>
  <mergeCells count="1">
    <mergeCell ref="B2:C4"/>
  </mergeCells>
  <pageMargins left="0.75" right="0.75" top="1" bottom="1" header="0.5" footer="0.5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6850"/>
    <pageSetUpPr fitToPage="1"/>
  </sheetPr>
  <dimension ref="A1:L25"/>
  <sheetViews>
    <sheetView showGridLines="0" workbookViewId="0">
      <pane ySplit="3" topLeftCell="A4" activePane="bottomLeft" state="frozen"/>
      <selection pane="bottomLeft"/>
    </sheetView>
  </sheetViews>
  <sheetFormatPr defaultRowHeight="15" x14ac:dyDescent="0.25"/>
  <cols>
    <col min="1" max="1" width="32" customWidth="1"/>
    <col min="2" max="3" width="16" customWidth="1"/>
    <col min="4" max="5" width="18" customWidth="1"/>
    <col min="6" max="6" width="17" customWidth="1"/>
    <col min="7" max="7" width="3" customWidth="1"/>
    <col min="8" max="12" width="13" customWidth="1"/>
  </cols>
  <sheetData>
    <row r="1" spans="1:12" ht="30" customHeight="1" x14ac:dyDescent="0.25">
      <c r="A1" s="50" t="s">
        <v>14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</row>
    <row r="2" spans="1:12" ht="27.95" customHeight="1" x14ac:dyDescent="0.25">
      <c r="A2" s="46" t="s">
        <v>15</v>
      </c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</row>
    <row r="4" spans="1:12" ht="20.100000000000001" customHeight="1" x14ac:dyDescent="0.25">
      <c r="A4" s="49" t="s">
        <v>16</v>
      </c>
      <c r="B4" s="45"/>
      <c r="C4" s="45"/>
      <c r="D4" s="45"/>
      <c r="E4" s="45"/>
      <c r="F4" s="45"/>
      <c r="G4" s="45"/>
      <c r="H4" s="45"/>
      <c r="I4" s="45"/>
      <c r="J4" s="45"/>
      <c r="K4" s="45"/>
      <c r="L4" s="45"/>
    </row>
    <row r="5" spans="1:12" ht="30" customHeight="1" x14ac:dyDescent="0.25">
      <c r="A5" s="47" t="str">
        <f>"1. The $15 tax-only case produces "&amp;TEXT(tax_only_base_emissions_reduction_pct,"0.0%")&amp;" net reduction ("&amp;TEXT(tax_only_base_emissions_reduction_mt,"0.0")&amp;" MtCO2e), closely testing the article's 2.9% anchor."</f>
        <v>1. The $15 tax-only case produces 2.9% net reduction (26.9 MtCO2e), closely testing the article's 2.9% anchor.</v>
      </c>
      <c r="B5" s="45"/>
      <c r="C5" s="45"/>
      <c r="D5" s="45"/>
      <c r="E5" s="45"/>
      <c r="F5" s="45"/>
      <c r="G5" s="45"/>
      <c r="H5" s="45"/>
      <c r="I5" s="45"/>
      <c r="J5" s="45"/>
      <c r="K5" s="45"/>
      <c r="L5" s="45"/>
    </row>
    <row r="6" spans="1:12" ht="30" customHeight="1" x14ac:dyDescent="0.25">
      <c r="A6" s="47" t="str">
        <f>"2. Adding 5% efficiency and 30% recycling changes the modeled GDP impact from "&amp;TEXT(tax_only_base_net_gdp_impact_pct,"0.0%")&amp;" to "&amp;TEXT(just_transition_base_net_gdp_impact_pct,"0.0%")&amp;" while increasing emissions reduction to "&amp;TEXT(just_transition_base_emissions_reduction_pct,"0.0%")&amp;"."</f>
        <v>2. Adding 5% efficiency and 30% recycling changes the modeled GDP impact from -0.8% to -0.1% while increasing emissions reduction to 5.6%.</v>
      </c>
      <c r="B6" s="45"/>
      <c r="C6" s="45"/>
      <c r="D6" s="45"/>
      <c r="E6" s="45"/>
      <c r="F6" s="45"/>
      <c r="G6" s="45"/>
      <c r="H6" s="45"/>
      <c r="I6" s="45"/>
      <c r="J6" s="45"/>
      <c r="K6" s="45"/>
      <c r="L6" s="45"/>
    </row>
    <row r="7" spans="1:12" ht="30" customHeight="1" x14ac:dyDescent="0.25">
      <c r="A7" s="47" t="str">
        <f>"3. Across five Base policy cases, net emissions reduction ranges from "&amp;TEXT(MIN(pilot_ets_base_emissions_reduction_pct,tax_only_base_emissions_reduction_pct,just_transition_base_emissions_reduction_pct,protected_industry_base_emissions_reduction_pct,accelerated_base_emissions_reduction_pct),"0.0%")&amp;" to "&amp;TEXT(MAX(pilot_ets_base_emissions_reduction_pct,tax_only_base_emissions_reduction_pct,just_transition_base_emissions_reduction_pct,protected_industry_base_emissions_reduction_pct,accelerated_base_emissions_reduction_pct),"0.0%")&amp;"."</f>
        <v>3. Across five Base policy cases, net emissions reduction ranges from 0.5% to 10.7%.</v>
      </c>
      <c r="B7" s="45"/>
      <c r="C7" s="45"/>
      <c r="D7" s="45"/>
      <c r="E7" s="45"/>
      <c r="F7" s="45"/>
      <c r="G7" s="45"/>
      <c r="H7" s="45"/>
      <c r="I7" s="45"/>
      <c r="J7" s="45"/>
      <c r="K7" s="45"/>
      <c r="L7" s="45"/>
    </row>
    <row r="8" spans="1:12" ht="30" customHeight="1" x14ac:dyDescent="0.25">
      <c r="A8" s="47" t="str">
        <f>"4. A 30% recycling share directs "&amp;TEXT(just_transition_base_recycled_revenue_bn,"$0.0")&amp;"bn to transition support and reaches up to "&amp;TEXT(just_transition_base_household_compensation_pct,"0%")&amp;" of households under the article's compensation anchor."</f>
        <v>4. A 30% recycling share directs $3.7bn to transition support and reaches up to 50% of households under the article's compensation anchor.</v>
      </c>
      <c r="B8" s="45"/>
      <c r="C8" s="45"/>
      <c r="D8" s="45"/>
      <c r="E8" s="45"/>
      <c r="F8" s="45"/>
      <c r="G8" s="45"/>
      <c r="H8" s="45"/>
      <c r="I8" s="45"/>
      <c r="J8" s="45"/>
      <c r="K8" s="45"/>
      <c r="L8" s="45"/>
    </row>
    <row r="9" spans="1:12" ht="30" customHeight="1" x14ac:dyDescent="0.25">
      <c r="A9" s="47" t="str">
        <f>"5. Even the $30 accelerated case delivers only "&amp;TEXT(accelerated_base_ndc_progress_pct,"0%")&amp;" of the unconditional NDC reduction in this directional model; carbon pricing is a package component, not a standalone solution."</f>
        <v>5. Even the $30 accelerated case delivers only 68% of the unconditional NDC reduction in this directional model; carbon pricing is a package component, not a standalone solution.</v>
      </c>
      <c r="B9" s="45"/>
      <c r="C9" s="45"/>
      <c r="D9" s="45"/>
      <c r="E9" s="45"/>
      <c r="F9" s="45"/>
      <c r="G9" s="45"/>
      <c r="H9" s="45"/>
      <c r="I9" s="45"/>
      <c r="J9" s="45"/>
      <c r="K9" s="45"/>
      <c r="L9" s="45"/>
    </row>
    <row r="11" spans="1:12" ht="20.100000000000001" customHeight="1" x14ac:dyDescent="0.25">
      <c r="A11" s="49" t="s">
        <v>17</v>
      </c>
      <c r="B11" s="45"/>
      <c r="C11" s="45"/>
      <c r="D11" s="45"/>
      <c r="E11" s="45"/>
      <c r="F11" s="45"/>
      <c r="G11" s="45"/>
      <c r="H11" s="45"/>
      <c r="I11" s="45"/>
      <c r="J11" s="45"/>
      <c r="K11" s="45"/>
      <c r="L11" s="45"/>
    </row>
    <row r="12" spans="1:12" ht="30" customHeight="1" x14ac:dyDescent="0.25">
      <c r="A12" s="4" t="s">
        <v>18</v>
      </c>
      <c r="B12" s="5" t="s">
        <v>19</v>
      </c>
      <c r="C12" s="6" t="s">
        <v>20</v>
      </c>
      <c r="D12" s="7" t="s">
        <v>21</v>
      </c>
      <c r="E12" s="8" t="s">
        <v>22</v>
      </c>
      <c r="F12" s="8" t="s">
        <v>23</v>
      </c>
    </row>
    <row r="13" spans="1:12" x14ac:dyDescent="0.25">
      <c r="A13" s="9" t="s">
        <v>24</v>
      </c>
      <c r="B13" s="10">
        <f>pilot_ets_base_emissions_reduction_pct</f>
        <v>5.3021744860826149E-3</v>
      </c>
      <c r="C13" s="10">
        <f>tax_only_base_emissions_reduction_pct</f>
        <v>2.9000000000000001E-2</v>
      </c>
      <c r="D13" s="10">
        <f>just_transition_base_emissions_reduction_pct</f>
        <v>5.6049999999999996E-2</v>
      </c>
      <c r="E13" s="10">
        <f>protected_industry_base_emissions_reduction_pct</f>
        <v>3.6991999999999997E-2</v>
      </c>
      <c r="F13" s="10">
        <f>accelerated_base_emissions_reduction_pct</f>
        <v>0.10665890048985675</v>
      </c>
    </row>
    <row r="14" spans="1:12" x14ac:dyDescent="0.25">
      <c r="A14" s="9" t="s">
        <v>25</v>
      </c>
      <c r="B14" s="11">
        <f>pilot_ets_base_emissions_reduction_mt</f>
        <v>4.9198877056360582</v>
      </c>
      <c r="C14" s="11">
        <f>tax_only_base_emissions_reduction_mt</f>
        <v>26.909100000000002</v>
      </c>
      <c r="D14" s="11">
        <f>just_transition_base_emissions_reduction_mt</f>
        <v>52.008794999999992</v>
      </c>
      <c r="E14" s="11">
        <f>protected_industry_base_emissions_reduction_mt</f>
        <v>34.324876799999998</v>
      </c>
      <c r="F14" s="11">
        <f>accelerated_base_emissions_reduction_mt</f>
        <v>98.968793764538077</v>
      </c>
    </row>
    <row r="15" spans="1:12" x14ac:dyDescent="0.25">
      <c r="A15" s="9" t="s">
        <v>26</v>
      </c>
      <c r="B15" s="10">
        <f>pilot_ets_base_net_gdp_impact_pct</f>
        <v>8.5569698675786951E-4</v>
      </c>
      <c r="C15" s="10">
        <f>tax_only_base_net_gdp_impact_pct</f>
        <v>-8.0000000000000002E-3</v>
      </c>
      <c r="D15" s="10">
        <f>just_transition_base_net_gdp_impact_pct</f>
        <v>-1E-3</v>
      </c>
      <c r="E15" s="10">
        <f>protected_industry_base_net_gdp_impact_pct</f>
        <v>1.6400000000000004E-3</v>
      </c>
      <c r="F15" s="10">
        <f>accelerated_base_net_gdp_impact_pct</f>
        <v>-8.1500555132996231E-4</v>
      </c>
    </row>
    <row r="16" spans="1:12" x14ac:dyDescent="0.25">
      <c r="A16" s="9" t="s">
        <v>27</v>
      </c>
      <c r="B16" s="11">
        <f>pilot_ets_base_net_gdp_impact_bn</f>
        <v>0.40764548752158142</v>
      </c>
      <c r="C16" s="11">
        <f>tax_only_base_net_gdp_impact_bn</f>
        <v>-3.8111199999999998</v>
      </c>
      <c r="D16" s="11">
        <f>just_transition_base_net_gdp_impact_bn</f>
        <v>-0.47638999999999998</v>
      </c>
      <c r="E16" s="11">
        <f>protected_industry_base_net_gdp_impact_bn</f>
        <v>0.78127960000000019</v>
      </c>
      <c r="F16" s="11">
        <f>accelerated_base_net_gdp_impact_bn</f>
        <v>-0.38826049459808071</v>
      </c>
    </row>
    <row r="17" spans="1:12" x14ac:dyDescent="0.25">
      <c r="A17" s="9" t="s">
        <v>28</v>
      </c>
      <c r="B17" s="11">
        <f>pilot_ets_base_net_fiscal_revenue_bn</f>
        <v>0.22842595622115658</v>
      </c>
      <c r="C17" s="11">
        <f>tax_only_base_net_fiscal_revenue_bn</f>
        <v>12.839120324999998</v>
      </c>
      <c r="D17" s="11">
        <f>just_transition_base_net_fiscal_revenue_bn</f>
        <v>12.442443075</v>
      </c>
      <c r="E17" s="11">
        <f>protected_industry_base_net_fiscal_revenue_bn</f>
        <v>6.6905539142399997</v>
      </c>
      <c r="F17" s="11">
        <f>accelerated_base_net_fiscal_revenue_bn</f>
        <v>23.476086187063856</v>
      </c>
    </row>
    <row r="18" spans="1:12" x14ac:dyDescent="0.25">
      <c r="A18" s="9" t="s">
        <v>29</v>
      </c>
      <c r="B18" s="12">
        <f>pilot_ets_base_household_compensation_pct</f>
        <v>0.33333333333333337</v>
      </c>
      <c r="C18" s="12">
        <f>tax_only_base_household_compensation_pct</f>
        <v>0</v>
      </c>
      <c r="D18" s="12">
        <f>just_transition_base_household_compensation_pct</f>
        <v>0.5</v>
      </c>
      <c r="E18" s="12">
        <f>protected_industry_base_household_compensation_pct</f>
        <v>0.5</v>
      </c>
      <c r="F18" s="12">
        <f>accelerated_base_household_compensation_pct</f>
        <v>0.5</v>
      </c>
    </row>
    <row r="19" spans="1:12" x14ac:dyDescent="0.25">
      <c r="A19" s="9" t="s">
        <v>30</v>
      </c>
      <c r="B19" s="12">
        <f>pilot_ets_base_ndc_progress_pct</f>
        <v>3.3628760804074218E-2</v>
      </c>
      <c r="C19" s="12">
        <f>tax_only_base_ndc_progress_pct</f>
        <v>0.18393096377306903</v>
      </c>
      <c r="D19" s="12">
        <f>just_transition_base_ndc_progress_pct</f>
        <v>0.35549415584415578</v>
      </c>
      <c r="E19" s="12">
        <f>protected_industry_base_ndc_progress_pct</f>
        <v>0.23461980041011618</v>
      </c>
      <c r="F19" s="12">
        <f>accelerated_base_ndc_progress_pct</f>
        <v>0.67647842627845567</v>
      </c>
    </row>
    <row r="22" spans="1:12" ht="20.100000000000001" customHeight="1" x14ac:dyDescent="0.25">
      <c r="A22" s="49" t="s">
        <v>31</v>
      </c>
      <c r="B22" s="45"/>
      <c r="C22" s="45"/>
      <c r="D22" s="45"/>
      <c r="E22" s="45"/>
      <c r="F22" s="45"/>
      <c r="G22" s="45"/>
      <c r="H22" s="45"/>
      <c r="I22" s="45"/>
      <c r="J22" s="45"/>
      <c r="K22" s="45"/>
      <c r="L22" s="45"/>
    </row>
    <row r="23" spans="1:12" x14ac:dyDescent="0.25">
      <c r="A23" s="48" t="s">
        <v>32</v>
      </c>
      <c r="B23" s="45"/>
      <c r="C23" s="45"/>
      <c r="D23" s="45"/>
      <c r="E23" s="45"/>
      <c r="F23" s="45"/>
      <c r="G23" s="45"/>
      <c r="H23" s="45"/>
      <c r="I23" s="45"/>
      <c r="J23" s="45"/>
      <c r="K23" s="45"/>
      <c r="L23" s="45"/>
    </row>
    <row r="24" spans="1:12" x14ac:dyDescent="0.25">
      <c r="A24" s="45"/>
      <c r="B24" s="45"/>
      <c r="C24" s="45"/>
      <c r="D24" s="45"/>
      <c r="E24" s="45"/>
      <c r="F24" s="45"/>
      <c r="G24" s="45"/>
      <c r="H24" s="45"/>
      <c r="I24" s="45"/>
      <c r="J24" s="45"/>
      <c r="K24" s="45"/>
      <c r="L24" s="45"/>
    </row>
    <row r="25" spans="1:12" x14ac:dyDescent="0.25">
      <c r="A25" t="s">
        <v>12</v>
      </c>
      <c r="B25" t="s">
        <v>33</v>
      </c>
      <c r="D25" t="s">
        <v>34</v>
      </c>
      <c r="E25" s="45" t="s">
        <v>35</v>
      </c>
      <c r="F25" s="45"/>
      <c r="G25" s="45"/>
      <c r="H25" s="45"/>
      <c r="I25" s="45"/>
      <c r="J25" s="45"/>
      <c r="K25" s="45"/>
      <c r="L25" s="45"/>
    </row>
  </sheetData>
  <mergeCells count="12">
    <mergeCell ref="A1:L1"/>
    <mergeCell ref="A5:L5"/>
    <mergeCell ref="A8:L8"/>
    <mergeCell ref="A6:L6"/>
    <mergeCell ref="A22:L22"/>
    <mergeCell ref="A9:L9"/>
    <mergeCell ref="A4:L4"/>
    <mergeCell ref="A2:L2"/>
    <mergeCell ref="A7:L7"/>
    <mergeCell ref="A23:L24"/>
    <mergeCell ref="A11:L11"/>
    <mergeCell ref="E25:L25"/>
  </mergeCells>
  <pageMargins left="0.75" right="0.75" top="1" bottom="1" header="0.5" footer="0.5"/>
  <pageSetup orientation="landscape"/>
  <headerFooter>
    <oddFooter>&amp;CVietnam carbon tax impact simulation | v1.0 | 14 Jul 2026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6850"/>
    <pageSetUpPr fitToPage="1"/>
  </sheetPr>
  <dimension ref="A1:R16"/>
  <sheetViews>
    <sheetView showGridLines="0" workbookViewId="0">
      <pane xSplit="1" ySplit="4" topLeftCell="B5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24" customWidth="1"/>
    <col min="2" max="2" width="14" customWidth="1"/>
    <col min="3" max="3" width="12" customWidth="1"/>
    <col min="4" max="4" width="18" customWidth="1"/>
    <col min="5" max="5" width="15" customWidth="1"/>
    <col min="6" max="6" width="14" customWidth="1"/>
    <col min="7" max="7" width="16" customWidth="1"/>
    <col min="8" max="9" width="12" customWidth="1"/>
    <col min="10" max="10" width="17" customWidth="1"/>
    <col min="11" max="11" width="16" customWidth="1"/>
    <col min="12" max="12" width="15" customWidth="1"/>
    <col min="13" max="13" width="16" customWidth="1"/>
    <col min="14" max="14" width="17" customWidth="1"/>
    <col min="15" max="15" width="20" customWidth="1"/>
    <col min="16" max="16" width="18" customWidth="1"/>
    <col min="17" max="17" width="16" customWidth="1"/>
    <col min="18" max="18" width="54" customWidth="1"/>
  </cols>
  <sheetData>
    <row r="1" spans="1:18" ht="30" customHeight="1" x14ac:dyDescent="0.25">
      <c r="A1" s="50" t="s">
        <v>36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</row>
    <row r="2" spans="1:18" ht="27.95" customHeight="1" x14ac:dyDescent="0.25">
      <c r="A2" s="46" t="s">
        <v>37</v>
      </c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</row>
    <row r="4" spans="1:18" ht="30" customHeight="1" x14ac:dyDescent="0.25">
      <c r="A4" s="4" t="s">
        <v>38</v>
      </c>
      <c r="B4" s="4" t="s">
        <v>39</v>
      </c>
      <c r="C4" s="4" t="s">
        <v>40</v>
      </c>
      <c r="D4" s="4" t="s">
        <v>41</v>
      </c>
      <c r="E4" s="4" t="s">
        <v>42</v>
      </c>
      <c r="F4" s="4" t="s">
        <v>43</v>
      </c>
      <c r="G4" s="4" t="s">
        <v>44</v>
      </c>
      <c r="H4" s="4" t="s">
        <v>45</v>
      </c>
      <c r="I4" s="4" t="s">
        <v>46</v>
      </c>
      <c r="J4" s="4" t="s">
        <v>47</v>
      </c>
      <c r="K4" s="4" t="s">
        <v>48</v>
      </c>
      <c r="L4" s="4" t="s">
        <v>49</v>
      </c>
      <c r="M4" s="4" t="s">
        <v>50</v>
      </c>
      <c r="N4" s="4" t="s">
        <v>51</v>
      </c>
      <c r="O4" s="4" t="s">
        <v>52</v>
      </c>
      <c r="P4" s="4" t="s">
        <v>53</v>
      </c>
      <c r="Q4" s="4" t="s">
        <v>54</v>
      </c>
      <c r="R4" s="4" t="s">
        <v>55</v>
      </c>
    </row>
    <row r="5" spans="1:18" ht="24" x14ac:dyDescent="0.25">
      <c r="A5" s="13" t="s">
        <v>19</v>
      </c>
      <c r="B5" s="14">
        <v>5</v>
      </c>
      <c r="C5" s="15">
        <v>0.27535294751589612</v>
      </c>
      <c r="D5" s="15">
        <v>0.8</v>
      </c>
      <c r="E5" s="15">
        <v>0.2</v>
      </c>
      <c r="F5" s="15">
        <v>0.01</v>
      </c>
      <c r="G5" s="15">
        <v>0.9</v>
      </c>
      <c r="H5" s="15">
        <v>0.2</v>
      </c>
      <c r="I5" s="14">
        <v>4</v>
      </c>
      <c r="J5" s="10">
        <f>pilot_ets_base_emissions_reduction_pct</f>
        <v>5.3021744860826149E-3</v>
      </c>
      <c r="K5" s="11">
        <f>pilot_ets_base_emissions_reduction_mt</f>
        <v>4.9198877056360582</v>
      </c>
      <c r="L5" s="10">
        <f>pilot_ets_base_net_gdp_impact_pct</f>
        <v>8.5569698675786951E-4</v>
      </c>
      <c r="M5" s="11">
        <f>pilot_ets_base_net_gdp_impact_bn</f>
        <v>0.40764548752158142</v>
      </c>
      <c r="N5" s="11">
        <f>pilot_ets_base_net_fiscal_revenue_bn</f>
        <v>0.22842595622115658</v>
      </c>
      <c r="O5" s="10">
        <f>pilot_ets_base_household_compensation_pct</f>
        <v>0.33333333333333337</v>
      </c>
      <c r="P5" s="10">
        <f>pilot_ets_base_ndc_progress_pct</f>
        <v>3.3628760804074218E-2</v>
      </c>
      <c r="Q5" s="11">
        <f>pilot_ets_base_fiscal_revenue_per_t_abated</f>
        <v>46.429099582797285</v>
      </c>
      <c r="R5" s="13" t="s">
        <v>56</v>
      </c>
    </row>
    <row r="6" spans="1:18" ht="36" x14ac:dyDescent="0.25">
      <c r="A6" s="13" t="s">
        <v>20</v>
      </c>
      <c r="B6" s="14">
        <v>15</v>
      </c>
      <c r="C6" s="15">
        <v>1</v>
      </c>
      <c r="D6" s="15">
        <v>0</v>
      </c>
      <c r="E6" s="15">
        <v>0</v>
      </c>
      <c r="F6" s="15">
        <v>0</v>
      </c>
      <c r="G6" s="15">
        <v>0.95</v>
      </c>
      <c r="H6" s="15">
        <v>0</v>
      </c>
      <c r="I6" s="14">
        <v>3</v>
      </c>
      <c r="J6" s="10">
        <f>tax_only_base_emissions_reduction_pct</f>
        <v>2.9000000000000001E-2</v>
      </c>
      <c r="K6" s="11">
        <f>tax_only_base_emissions_reduction_mt</f>
        <v>26.909100000000002</v>
      </c>
      <c r="L6" s="10">
        <f>tax_only_base_net_gdp_impact_pct</f>
        <v>-8.0000000000000002E-3</v>
      </c>
      <c r="M6" s="11">
        <f>tax_only_base_net_gdp_impact_bn</f>
        <v>-3.8111199999999998</v>
      </c>
      <c r="N6" s="11">
        <f>tax_only_base_net_fiscal_revenue_bn</f>
        <v>12.839120324999998</v>
      </c>
      <c r="O6" s="10">
        <f>tax_only_base_household_compensation_pct</f>
        <v>0</v>
      </c>
      <c r="P6" s="10">
        <f>tax_only_base_ndc_progress_pct</f>
        <v>0.18393096377306903</v>
      </c>
      <c r="Q6" s="11">
        <f>tax_only_base_fiscal_revenue_per_t_abated</f>
        <v>477.1293103448275</v>
      </c>
      <c r="R6" s="13" t="s">
        <v>57</v>
      </c>
    </row>
    <row r="7" spans="1:18" ht="24" x14ac:dyDescent="0.25">
      <c r="A7" s="13" t="s">
        <v>21</v>
      </c>
      <c r="B7" s="14">
        <v>15</v>
      </c>
      <c r="C7" s="15">
        <v>1</v>
      </c>
      <c r="D7" s="15">
        <v>0</v>
      </c>
      <c r="E7" s="15">
        <v>0.3</v>
      </c>
      <c r="F7" s="15">
        <v>0.05</v>
      </c>
      <c r="G7" s="15">
        <v>0.95</v>
      </c>
      <c r="H7" s="15">
        <v>0.05</v>
      </c>
      <c r="I7" s="14">
        <v>4</v>
      </c>
      <c r="J7" s="10">
        <f>just_transition_base_emissions_reduction_pct</f>
        <v>5.6049999999999996E-2</v>
      </c>
      <c r="K7" s="11">
        <f>just_transition_base_emissions_reduction_mt</f>
        <v>52.008794999999992</v>
      </c>
      <c r="L7" s="10">
        <f>just_transition_base_net_gdp_impact_pct</f>
        <v>-1E-3</v>
      </c>
      <c r="M7" s="11">
        <f>just_transition_base_net_gdp_impact_bn</f>
        <v>-0.47638999999999998</v>
      </c>
      <c r="N7" s="11">
        <f>just_transition_base_net_fiscal_revenue_bn</f>
        <v>12.442443075</v>
      </c>
      <c r="O7" s="10">
        <f>just_transition_base_household_compensation_pct</f>
        <v>0.5</v>
      </c>
      <c r="P7" s="10">
        <f>just_transition_base_ndc_progress_pct</f>
        <v>0.35549415584415578</v>
      </c>
      <c r="Q7" s="11">
        <f>just_transition_base_fiscal_revenue_per_t_abated</f>
        <v>239.23728813559325</v>
      </c>
      <c r="R7" s="13" t="s">
        <v>58</v>
      </c>
    </row>
    <row r="8" spans="1:18" ht="24" x14ac:dyDescent="0.25">
      <c r="A8" s="13" t="s">
        <v>59</v>
      </c>
      <c r="B8" s="14">
        <v>15</v>
      </c>
      <c r="C8" s="15">
        <v>0.7</v>
      </c>
      <c r="D8" s="15">
        <v>0.2</v>
      </c>
      <c r="E8" s="15">
        <v>0.3</v>
      </c>
      <c r="F8" s="15">
        <v>0.05</v>
      </c>
      <c r="G8" s="15">
        <v>0.9</v>
      </c>
      <c r="H8" s="15">
        <v>0.2</v>
      </c>
      <c r="I8" s="14">
        <v>3</v>
      </c>
      <c r="J8" s="10">
        <f>protected_industry_base_emissions_reduction_pct</f>
        <v>3.6991999999999997E-2</v>
      </c>
      <c r="K8" s="11">
        <f>protected_industry_base_emissions_reduction_mt</f>
        <v>34.324876799999998</v>
      </c>
      <c r="L8" s="10">
        <f>protected_industry_base_net_gdp_impact_pct</f>
        <v>1.6400000000000004E-3</v>
      </c>
      <c r="M8" s="11">
        <f>protected_industry_base_net_gdp_impact_bn</f>
        <v>0.78127960000000019</v>
      </c>
      <c r="N8" s="11">
        <f>protected_industry_base_net_fiscal_revenue_bn</f>
        <v>6.6905539142399997</v>
      </c>
      <c r="O8" s="10">
        <f>protected_industry_base_household_compensation_pct</f>
        <v>0.5</v>
      </c>
      <c r="P8" s="10">
        <f>protected_industry_base_ndc_progress_pct</f>
        <v>0.23461980041011618</v>
      </c>
      <c r="Q8" s="11">
        <f>protected_industry_base_fiscal_revenue_per_t_abated</f>
        <v>194.91851211072662</v>
      </c>
      <c r="R8" s="13" t="s">
        <v>60</v>
      </c>
    </row>
    <row r="9" spans="1:18" ht="24" x14ac:dyDescent="0.25">
      <c r="A9" s="13" t="s">
        <v>23</v>
      </c>
      <c r="B9" s="14">
        <v>30</v>
      </c>
      <c r="C9" s="15">
        <v>1</v>
      </c>
      <c r="D9" s="15">
        <v>0</v>
      </c>
      <c r="E9" s="15">
        <v>0.4</v>
      </c>
      <c r="F9" s="15">
        <v>0.1</v>
      </c>
      <c r="G9" s="15">
        <v>0.95</v>
      </c>
      <c r="H9" s="15">
        <v>0.05</v>
      </c>
      <c r="I9" s="14">
        <v>2.5</v>
      </c>
      <c r="J9" s="10">
        <f>accelerated_base_emissions_reduction_pct</f>
        <v>0.10665890048985675</v>
      </c>
      <c r="K9" s="11">
        <f>accelerated_base_emissions_reduction_mt</f>
        <v>98.968793764538077</v>
      </c>
      <c r="L9" s="10">
        <f>accelerated_base_net_gdp_impact_pct</f>
        <v>-8.1500555132996231E-4</v>
      </c>
      <c r="M9" s="11">
        <f>accelerated_base_net_gdp_impact_bn</f>
        <v>-0.38826049459808071</v>
      </c>
      <c r="N9" s="11">
        <f>accelerated_base_net_fiscal_revenue_bn</f>
        <v>23.476086187063856</v>
      </c>
      <c r="O9" s="10">
        <f>accelerated_base_household_compensation_pct</f>
        <v>0.5</v>
      </c>
      <c r="P9" s="10">
        <f>accelerated_base_ndc_progress_pct</f>
        <v>0.67647842627845567</v>
      </c>
      <c r="Q9" s="11">
        <f>accelerated_base_fiscal_revenue_per_t_abated</f>
        <v>237.20695477927174</v>
      </c>
      <c r="R9" s="13" t="s">
        <v>61</v>
      </c>
    </row>
    <row r="12" spans="1:18" ht="20.100000000000001" customHeight="1" x14ac:dyDescent="0.25">
      <c r="A12" s="49" t="s">
        <v>62</v>
      </c>
      <c r="B12" s="45"/>
      <c r="C12" s="45"/>
      <c r="D12" s="45"/>
      <c r="E12" s="45"/>
      <c r="F12" s="45"/>
      <c r="G12" s="45"/>
      <c r="H12" s="45"/>
      <c r="I12" s="45"/>
      <c r="J12" s="45"/>
      <c r="K12" s="45"/>
      <c r="L12" s="45"/>
      <c r="M12" s="45"/>
      <c r="N12" s="45"/>
      <c r="O12" s="45"/>
      <c r="P12" s="45"/>
      <c r="Q12" s="45"/>
      <c r="R12" s="45"/>
    </row>
    <row r="13" spans="1:18" ht="30" customHeight="1" x14ac:dyDescent="0.25">
      <c r="A13" s="4" t="s">
        <v>63</v>
      </c>
      <c r="B13" s="4" t="s">
        <v>24</v>
      </c>
      <c r="C13" s="4" t="s">
        <v>25</v>
      </c>
      <c r="D13" s="4" t="s">
        <v>26</v>
      </c>
      <c r="E13" s="4" t="s">
        <v>27</v>
      </c>
      <c r="F13" s="4" t="s">
        <v>28</v>
      </c>
      <c r="G13" s="4" t="s">
        <v>29</v>
      </c>
      <c r="H13" s="4" t="s">
        <v>30</v>
      </c>
      <c r="I13" s="4" t="s">
        <v>64</v>
      </c>
      <c r="J13" s="4" t="s">
        <v>65</v>
      </c>
    </row>
    <row r="14" spans="1:18" ht="75" x14ac:dyDescent="0.25">
      <c r="A14" s="16" t="s">
        <v>66</v>
      </c>
      <c r="B14" s="17">
        <f>just_transition_base_emissions_reduction_pct</f>
        <v>5.6049999999999996E-2</v>
      </c>
      <c r="C14" s="18">
        <f>just_transition_base_emissions_reduction_mt</f>
        <v>52.008794999999992</v>
      </c>
      <c r="D14" s="17">
        <f>just_transition_base_net_gdp_impact_pct</f>
        <v>-1E-3</v>
      </c>
      <c r="E14" s="18">
        <f>just_transition_base_net_gdp_impact_bn</f>
        <v>-0.47638999999999998</v>
      </c>
      <c r="F14" s="18">
        <f>just_transition_base_net_fiscal_revenue_bn</f>
        <v>12.442443075</v>
      </c>
      <c r="G14" s="17">
        <f>just_transition_base_household_compensation_pct</f>
        <v>0.5</v>
      </c>
      <c r="H14" s="17">
        <f>just_transition_base_ndc_progress_pct</f>
        <v>0.35549415584415578</v>
      </c>
      <c r="I14" s="19">
        <f>scenario_base_probability</f>
        <v>0.55000000000000004</v>
      </c>
      <c r="J14" s="20" t="s">
        <v>67</v>
      </c>
    </row>
    <row r="15" spans="1:18" ht="90" x14ac:dyDescent="0.25">
      <c r="A15" s="21" t="s">
        <v>68</v>
      </c>
      <c r="B15" s="17">
        <f>just_transition_bull_emissions_reduction_pct</f>
        <v>6.8637500000000004E-2</v>
      </c>
      <c r="C15" s="18">
        <f>just_transition_bull_emissions_reduction_mt</f>
        <v>63.688736250000005</v>
      </c>
      <c r="D15" s="17">
        <f>just_transition_bull_net_gdp_impact_pct</f>
        <v>1.1999999999999999E-3</v>
      </c>
      <c r="E15" s="18">
        <f>just_transition_bull_net_gdp_impact_bn</f>
        <v>0.57166799999999995</v>
      </c>
      <c r="F15" s="18">
        <f>just_transition_bull_net_fiscal_revenue_bn</f>
        <v>12.267243956249997</v>
      </c>
      <c r="G15" s="17">
        <f>just_transition_bull_household_compensation_pct</f>
        <v>0.5</v>
      </c>
      <c r="H15" s="17">
        <f>just_transition_bull_ndc_progress_pct</f>
        <v>0.43532970779220781</v>
      </c>
      <c r="I15" s="19">
        <f>scenario_bull_probability</f>
        <v>0.22</v>
      </c>
      <c r="J15" s="20" t="s">
        <v>69</v>
      </c>
    </row>
    <row r="16" spans="1:18" ht="75" x14ac:dyDescent="0.25">
      <c r="A16" s="22" t="s">
        <v>70</v>
      </c>
      <c r="B16" s="17">
        <f>just_transition_bear_emissions_reduction_pct</f>
        <v>4.0612499999999996E-2</v>
      </c>
      <c r="C16" s="18">
        <f>just_transition_bear_emissions_reduction_mt</f>
        <v>37.684338749999995</v>
      </c>
      <c r="D16" s="17">
        <f>just_transition_bear_net_gdp_impact_pct</f>
        <v>-4.0000000000000001E-3</v>
      </c>
      <c r="E16" s="18">
        <f>just_transition_bear_net_gdp_impact_bn</f>
        <v>-1.9055599999999999</v>
      </c>
      <c r="F16" s="18">
        <f>just_transition_bear_net_fiscal_revenue_bn</f>
        <v>12.65730991875</v>
      </c>
      <c r="G16" s="17">
        <f>just_transition_bear_household_compensation_pct</f>
        <v>0.5</v>
      </c>
      <c r="H16" s="17">
        <f>just_transition_bear_ndc_progress_pct</f>
        <v>0.25758262987012981</v>
      </c>
      <c r="I16" s="19">
        <f>scenario_bear_probability</f>
        <v>0.23</v>
      </c>
      <c r="J16" s="20" t="s">
        <v>71</v>
      </c>
    </row>
  </sheetData>
  <mergeCells count="3">
    <mergeCell ref="A2:R2"/>
    <mergeCell ref="A1:R1"/>
    <mergeCell ref="A12:R12"/>
  </mergeCells>
  <pageMargins left="0.75" right="0.75" top="1" bottom="1" header="0.5" footer="0.5"/>
  <pageSetup orientation="landscape"/>
  <headerFooter>
    <oddFooter>&amp;CVietnam carbon tax impact simulation | v1.0 | 14 Jul 2026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6850"/>
    <pageSetUpPr fitToPage="1"/>
  </sheetPr>
  <dimension ref="A1:L13"/>
  <sheetViews>
    <sheetView showGridLines="0" workbookViewId="0">
      <pane xSplit="2" ySplit="4" topLeftCell="C5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28" customWidth="1"/>
    <col min="2" max="2" width="12" customWidth="1"/>
    <col min="3" max="3" width="15" customWidth="1"/>
    <col min="4" max="4" width="16" customWidth="1"/>
    <col min="5" max="5" width="19" customWidth="1"/>
    <col min="6" max="7" width="17" customWidth="1"/>
    <col min="8" max="8" width="48" customWidth="1"/>
  </cols>
  <sheetData>
    <row r="1" spans="1:12" ht="30" customHeight="1" x14ac:dyDescent="0.25">
      <c r="A1" s="50" t="s">
        <v>72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</row>
    <row r="2" spans="1:12" ht="27.95" customHeight="1" x14ac:dyDescent="0.25">
      <c r="A2" s="46" t="s">
        <v>73</v>
      </c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</row>
    <row r="4" spans="1:12" ht="30" customHeight="1" x14ac:dyDescent="0.25">
      <c r="A4" s="4" t="s">
        <v>74</v>
      </c>
      <c r="B4" s="4" t="s">
        <v>75</v>
      </c>
      <c r="C4" s="4" t="s">
        <v>19</v>
      </c>
      <c r="D4" s="4" t="s">
        <v>20</v>
      </c>
      <c r="E4" s="4" t="s">
        <v>21</v>
      </c>
      <c r="F4" s="4" t="s">
        <v>22</v>
      </c>
      <c r="G4" s="4" t="s">
        <v>23</v>
      </c>
      <c r="H4" s="4" t="s">
        <v>76</v>
      </c>
    </row>
    <row r="5" spans="1:12" x14ac:dyDescent="0.25">
      <c r="A5" t="s">
        <v>77</v>
      </c>
      <c r="B5" s="23">
        <v>0.3</v>
      </c>
      <c r="C5" s="24">
        <f>1+4*pilot_ets_base_emissions_reduction_pct/MAX(pilot_ets_base_emissions_reduction_pct,tax_only_base_emissions_reduction_pct,just_transition_base_emissions_reduction_pct,protected_industry_base_emissions_reduction_pct,accelerated_base_emissions_reduction_pct)</f>
        <v>1.1988460207908049</v>
      </c>
      <c r="D5" s="24">
        <f>1+4*tax_only_base_emissions_reduction_pct/MAX(pilot_ets_base_emissions_reduction_pct,tax_only_base_emissions_reduction_pct,just_transition_base_emissions_reduction_pct,protected_industry_base_emissions_reduction_pct,accelerated_base_emissions_reduction_pct)</f>
        <v>2.0875791843647553</v>
      </c>
      <c r="E5" s="24">
        <f>1+4*just_transition_base_emissions_reduction_pct/MAX(pilot_ets_base_emissions_reduction_pct,tax_only_base_emissions_reduction_pct,just_transition_base_emissions_reduction_pct,protected_industry_base_emissions_reduction_pct,accelerated_base_emissions_reduction_pct)</f>
        <v>3.1020280442636046</v>
      </c>
      <c r="F5" s="24">
        <f>1+4*protected_industry_base_emissions_reduction_pct/MAX(pilot_ets_base_emissions_reduction_pct,tax_only_base_emissions_reduction_pct,just_transition_base_emissions_reduction_pct,protected_industry_base_emissions_reduction_pct,accelerated_base_emissions_reduction_pct)</f>
        <v>2.3873010064834834</v>
      </c>
      <c r="G5" s="24">
        <f>1+4*accelerated_base_emissions_reduction_pct/MAX(pilot_ets_base_emissions_reduction_pct,tax_only_base_emissions_reduction_pct,just_transition_base_emissions_reduction_pct,protected_industry_base_emissions_reduction_pct,accelerated_base_emissions_reduction_pct)</f>
        <v>5</v>
      </c>
      <c r="H5" t="s">
        <v>78</v>
      </c>
    </row>
    <row r="6" spans="1:12" x14ac:dyDescent="0.25">
      <c r="A6" t="s">
        <v>79</v>
      </c>
      <c r="B6" s="23">
        <v>0.25</v>
      </c>
      <c r="C6" s="24">
        <f>1+4*(pilot_ets_base_net_gdp_impact_pct-MIN(pilot_ets_base_net_gdp_impact_pct,tax_only_base_net_gdp_impact_pct,just_transition_base_net_gdp_impact_pct,protected_industry_base_net_gdp_impact_pct,accelerated_base_net_gdp_impact_pct))/(MAX(pilot_ets_base_net_gdp_impact_pct,tax_only_base_net_gdp_impact_pct,just_transition_base_net_gdp_impact_pct,protected_industry_base_net_gdp_impact_pct,accelerated_base_net_gdp_impact_pct)-MIN(pilot_ets_base_net_gdp_impact_pct,tax_only_base_net_gdp_impact_pct,just_transition_base_net_gdp_impact_pct,protected_industry_base_net_gdp_impact_pct,accelerated_base_net_gdp_impact_pct))</f>
        <v>4.6745630650447589</v>
      </c>
      <c r="D6" s="24">
        <f>1+4*(tax_only_base_net_gdp_impact_pct-MIN(pilot_ets_base_net_gdp_impact_pct,tax_only_base_net_gdp_impact_pct,just_transition_base_net_gdp_impact_pct,protected_industry_base_net_gdp_impact_pct,accelerated_base_net_gdp_impact_pct))/(MAX(pilot_ets_base_net_gdp_impact_pct,tax_only_base_net_gdp_impact_pct,just_transition_base_net_gdp_impact_pct,protected_industry_base_net_gdp_impact_pct,accelerated_base_net_gdp_impact_pct)-MIN(pilot_ets_base_net_gdp_impact_pct,tax_only_base_net_gdp_impact_pct,just_transition_base_net_gdp_impact_pct,protected_industry_base_net_gdp_impact_pct,accelerated_base_net_gdp_impact_pct))</f>
        <v>1</v>
      </c>
      <c r="E6" s="24">
        <f>1+4*(just_transition_base_net_gdp_impact_pct-MIN(pilot_ets_base_net_gdp_impact_pct,tax_only_base_net_gdp_impact_pct,just_transition_base_net_gdp_impact_pct,protected_industry_base_net_gdp_impact_pct,accelerated_base_net_gdp_impact_pct))/(MAX(pilot_ets_base_net_gdp_impact_pct,tax_only_base_net_gdp_impact_pct,just_transition_base_net_gdp_impact_pct,protected_industry_base_net_gdp_impact_pct,accelerated_base_net_gdp_impact_pct)-MIN(pilot_ets_base_net_gdp_impact_pct,tax_only_base_net_gdp_impact_pct,just_transition_base_net_gdp_impact_pct,protected_industry_base_net_gdp_impact_pct,accelerated_base_net_gdp_impact_pct))</f>
        <v>3.904564315352697</v>
      </c>
      <c r="F6" s="24">
        <f>1+4*(protected_industry_base_net_gdp_impact_pct-MIN(pilot_ets_base_net_gdp_impact_pct,tax_only_base_net_gdp_impact_pct,just_transition_base_net_gdp_impact_pct,protected_industry_base_net_gdp_impact_pct,accelerated_base_net_gdp_impact_pct))/(MAX(pilot_ets_base_net_gdp_impact_pct,tax_only_base_net_gdp_impact_pct,just_transition_base_net_gdp_impact_pct,protected_industry_base_net_gdp_impact_pct,accelerated_base_net_gdp_impact_pct)-MIN(pilot_ets_base_net_gdp_impact_pct,tax_only_base_net_gdp_impact_pct,just_transition_base_net_gdp_impact_pct,protected_industry_base_net_gdp_impact_pct,accelerated_base_net_gdp_impact_pct))</f>
        <v>5</v>
      </c>
      <c r="G6" s="24">
        <f>1+4*(accelerated_base_net_gdp_impact_pct-MIN(pilot_ets_base_net_gdp_impact_pct,tax_only_base_net_gdp_impact_pct,just_transition_base_net_gdp_impact_pct,protected_industry_base_net_gdp_impact_pct,accelerated_base_net_gdp_impact_pct))/(MAX(pilot_ets_base_net_gdp_impact_pct,tax_only_base_net_gdp_impact_pct,just_transition_base_net_gdp_impact_pct,protected_industry_base_net_gdp_impact_pct,accelerated_base_net_gdp_impact_pct)-MIN(pilot_ets_base_net_gdp_impact_pct,tax_only_base_net_gdp_impact_pct,just_transition_base_net_gdp_impact_pct,protected_industry_base_net_gdp_impact_pct,accelerated_base_net_gdp_impact_pct))</f>
        <v>3.9813254973734593</v>
      </c>
      <c r="H6" t="s">
        <v>80</v>
      </c>
    </row>
    <row r="7" spans="1:12" x14ac:dyDescent="0.25">
      <c r="A7" t="s">
        <v>81</v>
      </c>
      <c r="B7" s="23">
        <v>0.2</v>
      </c>
      <c r="C7" s="24">
        <f>1+4*pilot_ets_base_household_compensation_pct/base_bottom_households_potentially_compensated</f>
        <v>3.666666666666667</v>
      </c>
      <c r="D7" s="24">
        <f>1+4*tax_only_base_household_compensation_pct/base_bottom_households_potentially_compensated</f>
        <v>1</v>
      </c>
      <c r="E7" s="24">
        <f>1+4*just_transition_base_household_compensation_pct/base_bottom_households_potentially_compensated</f>
        <v>5</v>
      </c>
      <c r="F7" s="24">
        <f>1+4*protected_industry_base_household_compensation_pct/base_bottom_households_potentially_compensated</f>
        <v>5</v>
      </c>
      <c r="G7" s="24">
        <f>1+4*accelerated_base_household_compensation_pct/base_bottom_households_potentially_compensated</f>
        <v>5</v>
      </c>
      <c r="H7" t="s">
        <v>82</v>
      </c>
    </row>
    <row r="8" spans="1:12" x14ac:dyDescent="0.25">
      <c r="A8" t="s">
        <v>83</v>
      </c>
      <c r="B8" s="23">
        <v>0.1</v>
      </c>
      <c r="C8" s="24">
        <f>1+4*pilot_ets_base_net_fiscal_revenue_bn/MAX(pilot_ets_base_net_fiscal_revenue_bn,tax_only_base_net_fiscal_revenue_bn,just_transition_base_net_fiscal_revenue_bn,protected_industry_base_net_fiscal_revenue_bn,accelerated_base_net_fiscal_revenue_bn)</f>
        <v>1.0389206198002505</v>
      </c>
      <c r="D8" s="24">
        <f>1+4*tax_only_base_net_fiscal_revenue_bn/MAX(pilot_ets_base_net_fiscal_revenue_bn,tax_only_base_net_fiscal_revenue_bn,just_transition_base_net_fiscal_revenue_bn,protected_industry_base_net_fiscal_revenue_bn,accelerated_base_net_fiscal_revenue_bn)</f>
        <v>3.1876083130202173</v>
      </c>
      <c r="E8" s="24">
        <f>1+4*just_transition_base_net_fiscal_revenue_bn/MAX(pilot_ets_base_net_fiscal_revenue_bn,tax_only_base_net_fiscal_revenue_bn,just_transition_base_net_fiscal_revenue_bn,protected_industry_base_net_fiscal_revenue_bn,accelerated_base_net_fiscal_revenue_bn)</f>
        <v>3.1200200026282441</v>
      </c>
      <c r="F8" s="24">
        <f>1+4*protected_industry_base_net_fiscal_revenue_bn/MAX(pilot_ets_base_net_fiscal_revenue_bn,tax_only_base_net_fiscal_revenue_bn,just_transition_base_net_fiscal_revenue_bn,protected_industry_base_net_fiscal_revenue_bn,accelerated_base_net_fiscal_revenue_bn)</f>
        <v>2.1399777392070964</v>
      </c>
      <c r="G8" s="24">
        <f>1+4*accelerated_base_net_fiscal_revenue_bn/MAX(pilot_ets_base_net_fiscal_revenue_bn,tax_only_base_net_fiscal_revenue_bn,just_transition_base_net_fiscal_revenue_bn,protected_industry_base_net_fiscal_revenue_bn,accelerated_base_net_fiscal_revenue_bn)</f>
        <v>5</v>
      </c>
      <c r="H8" t="s">
        <v>84</v>
      </c>
    </row>
    <row r="9" spans="1:12" x14ac:dyDescent="0.25">
      <c r="A9" t="s">
        <v>85</v>
      </c>
      <c r="B9" s="23">
        <v>0.15</v>
      </c>
      <c r="C9" s="24">
        <f>pilot_ets_feasibility</f>
        <v>4</v>
      </c>
      <c r="D9" s="24">
        <f>tax_only_feasibility</f>
        <v>3</v>
      </c>
      <c r="E9" s="24">
        <f>just_transition_feasibility</f>
        <v>4</v>
      </c>
      <c r="F9" s="24">
        <f>protected_industry_feasibility</f>
        <v>3</v>
      </c>
      <c r="G9" s="24">
        <f>accelerated_feasibility</f>
        <v>2.5</v>
      </c>
      <c r="H9" t="s">
        <v>86</v>
      </c>
    </row>
    <row r="11" spans="1:12" x14ac:dyDescent="0.25">
      <c r="A11" t="s">
        <v>87</v>
      </c>
      <c r="B11" s="19">
        <f>SUM(B5:B9)</f>
        <v>1</v>
      </c>
      <c r="C11" s="25">
        <f>SUMPRODUCT($B$5:$B$9,C$5:C$9)</f>
        <v>2.9655199678117898</v>
      </c>
      <c r="D11" s="25">
        <f>SUMPRODUCT($B$5:$B$9,D$5:D$9)</f>
        <v>1.8450345866114484</v>
      </c>
      <c r="E11" s="25">
        <f>SUMPRODUCT($B$5:$B$9,E$5:E$9)</f>
        <v>3.81875149238008</v>
      </c>
      <c r="F11" s="25">
        <f>SUMPRODUCT($B$5:$B$9,F$5:F$9)</f>
        <v>3.630188075865755</v>
      </c>
      <c r="G11" s="25">
        <f>SUMPRODUCT($B$5:$B$9,G$5:G$9)</f>
        <v>4.3703313743433654</v>
      </c>
    </row>
    <row r="13" spans="1:12" x14ac:dyDescent="0.25">
      <c r="A13" t="s">
        <v>88</v>
      </c>
      <c r="B13" s="51" t="str">
        <f>INDEX(C4:G4,1,MATCH(MAX(C11:G11),C11:G11,0))</f>
        <v>$30 Accelerated</v>
      </c>
      <c r="C13" s="45"/>
      <c r="D13" s="45"/>
    </row>
  </sheetData>
  <mergeCells count="3">
    <mergeCell ref="A2:L2"/>
    <mergeCell ref="B13:D13"/>
    <mergeCell ref="A1:L1"/>
  </mergeCells>
  <pageMargins left="0.75" right="0.75" top="1" bottom="1" header="0.5" footer="0.5"/>
  <pageSetup orientation="landscape"/>
  <headerFooter>
    <oddFooter>&amp;CVietnam carbon tax impact simulation | v1.0 | 14 Jul 2026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2C6FA6"/>
    <pageSetUpPr fitToPage="1"/>
  </sheetPr>
  <dimension ref="A1:M29"/>
  <sheetViews>
    <sheetView showGridLines="0" workbookViewId="0">
      <pane xSplit="2" ySplit="4" topLeftCell="C5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34" customWidth="1"/>
    <col min="2" max="2" width="16" customWidth="1"/>
    <col min="3" max="5" width="13" customWidth="1"/>
    <col min="6" max="6" width="19" customWidth="1"/>
    <col min="7" max="7" width="14" customWidth="1"/>
    <col min="8" max="8" width="32" customWidth="1"/>
    <col min="9" max="9" width="42" customWidth="1"/>
    <col min="10" max="10" width="12" customWidth="1"/>
    <col min="11" max="11" width="15" customWidth="1"/>
    <col min="12" max="12" width="13" customWidth="1"/>
    <col min="13" max="13" width="52" customWidth="1"/>
  </cols>
  <sheetData>
    <row r="1" spans="1:13" ht="30" customHeight="1" x14ac:dyDescent="0.25">
      <c r="A1" s="50" t="s">
        <v>89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</row>
    <row r="2" spans="1:13" ht="27.95" customHeight="1" x14ac:dyDescent="0.25">
      <c r="A2" s="46" t="s">
        <v>90</v>
      </c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</row>
    <row r="4" spans="1:13" ht="30" customHeight="1" x14ac:dyDescent="0.25">
      <c r="A4" s="4" t="s">
        <v>91</v>
      </c>
      <c r="B4" s="4" t="s">
        <v>92</v>
      </c>
      <c r="C4" s="7" t="s">
        <v>93</v>
      </c>
      <c r="D4" s="8" t="s">
        <v>94</v>
      </c>
      <c r="E4" s="6" t="s">
        <v>95</v>
      </c>
      <c r="F4" s="4" t="s">
        <v>96</v>
      </c>
      <c r="G4" s="4" t="s">
        <v>97</v>
      </c>
      <c r="H4" s="4" t="s">
        <v>98</v>
      </c>
      <c r="I4" s="4" t="s">
        <v>99</v>
      </c>
      <c r="J4" s="4" t="s">
        <v>12</v>
      </c>
      <c r="K4" s="4" t="s">
        <v>100</v>
      </c>
      <c r="L4" s="4" t="s">
        <v>101</v>
      </c>
      <c r="M4" s="4" t="s">
        <v>102</v>
      </c>
    </row>
    <row r="5" spans="1:13" ht="24" x14ac:dyDescent="0.25">
      <c r="A5" s="13" t="s">
        <v>103</v>
      </c>
      <c r="B5" s="26" t="s">
        <v>104</v>
      </c>
      <c r="C5" s="27">
        <v>927.9</v>
      </c>
      <c r="D5" s="27">
        <v>927.9</v>
      </c>
      <c r="E5" s="27">
        <v>927.9</v>
      </c>
      <c r="F5" s="26" t="s">
        <v>105</v>
      </c>
      <c r="G5" s="26" t="s">
        <v>106</v>
      </c>
      <c r="H5" s="13" t="s">
        <v>107</v>
      </c>
      <c r="I5" s="13" t="s">
        <v>108</v>
      </c>
      <c r="J5" s="26" t="s">
        <v>109</v>
      </c>
      <c r="K5" s="26" t="s">
        <v>110</v>
      </c>
      <c r="L5" s="28">
        <v>46217</v>
      </c>
      <c r="M5" s="13" t="s">
        <v>111</v>
      </c>
    </row>
    <row r="6" spans="1:13" ht="24" x14ac:dyDescent="0.25">
      <c r="A6" s="13" t="s">
        <v>112</v>
      </c>
      <c r="B6" s="26" t="s">
        <v>113</v>
      </c>
      <c r="C6" s="27">
        <v>476.39</v>
      </c>
      <c r="D6" s="27">
        <v>476.39</v>
      </c>
      <c r="E6" s="27">
        <v>476.39</v>
      </c>
      <c r="F6" s="26" t="s">
        <v>114</v>
      </c>
      <c r="G6" s="26" t="s">
        <v>106</v>
      </c>
      <c r="H6" s="13" t="s">
        <v>115</v>
      </c>
      <c r="I6" s="13" t="s">
        <v>116</v>
      </c>
      <c r="J6" s="26" t="s">
        <v>109</v>
      </c>
      <c r="K6" s="26" t="s">
        <v>110</v>
      </c>
      <c r="L6" s="28">
        <v>46217</v>
      </c>
      <c r="M6" s="13" t="s">
        <v>117</v>
      </c>
    </row>
    <row r="7" spans="1:13" ht="36" x14ac:dyDescent="0.25">
      <c r="A7" s="13" t="s">
        <v>118</v>
      </c>
      <c r="B7" s="26" t="s">
        <v>119</v>
      </c>
      <c r="C7" s="29">
        <v>15</v>
      </c>
      <c r="D7" s="29">
        <v>15</v>
      </c>
      <c r="E7" s="29">
        <v>15</v>
      </c>
      <c r="F7" s="26" t="s">
        <v>120</v>
      </c>
      <c r="G7" s="26" t="s">
        <v>106</v>
      </c>
      <c r="H7" s="13" t="s">
        <v>121</v>
      </c>
      <c r="I7" s="13" t="s">
        <v>122</v>
      </c>
      <c r="J7" s="26" t="s">
        <v>123</v>
      </c>
      <c r="K7" s="26" t="s">
        <v>110</v>
      </c>
      <c r="L7" s="28">
        <v>46217</v>
      </c>
      <c r="M7" s="13" t="s">
        <v>124</v>
      </c>
    </row>
    <row r="8" spans="1:13" ht="36" x14ac:dyDescent="0.25">
      <c r="A8" s="13" t="s">
        <v>125</v>
      </c>
      <c r="B8" s="26" t="s">
        <v>126</v>
      </c>
      <c r="C8" s="30">
        <v>2.9000000000000001E-2</v>
      </c>
      <c r="D8" s="30">
        <v>2.9000000000000001E-2</v>
      </c>
      <c r="E8" s="30">
        <v>2.9000000000000001E-2</v>
      </c>
      <c r="F8" s="26" t="s">
        <v>127</v>
      </c>
      <c r="G8" s="26" t="s">
        <v>106</v>
      </c>
      <c r="H8" s="13" t="s">
        <v>121</v>
      </c>
      <c r="I8" s="13" t="s">
        <v>122</v>
      </c>
      <c r="J8" s="26" t="s">
        <v>123</v>
      </c>
      <c r="K8" s="26" t="s">
        <v>110</v>
      </c>
      <c r="L8" s="28">
        <v>46217</v>
      </c>
      <c r="M8" s="13" t="s">
        <v>128</v>
      </c>
    </row>
    <row r="9" spans="1:13" ht="36" x14ac:dyDescent="0.25">
      <c r="A9" s="13" t="s">
        <v>129</v>
      </c>
      <c r="B9" s="26" t="s">
        <v>113</v>
      </c>
      <c r="C9" s="30">
        <v>8.0000000000000002E-3</v>
      </c>
      <c r="D9" s="30">
        <v>8.0000000000000002E-3</v>
      </c>
      <c r="E9" s="30">
        <v>8.0000000000000002E-3</v>
      </c>
      <c r="F9" s="26" t="s">
        <v>130</v>
      </c>
      <c r="G9" s="26" t="s">
        <v>106</v>
      </c>
      <c r="H9" s="13" t="s">
        <v>121</v>
      </c>
      <c r="I9" s="13" t="s">
        <v>122</v>
      </c>
      <c r="J9" s="26" t="s">
        <v>123</v>
      </c>
      <c r="K9" s="26" t="s">
        <v>110</v>
      </c>
      <c r="L9" s="28">
        <v>46217</v>
      </c>
      <c r="M9" s="13" t="s">
        <v>131</v>
      </c>
    </row>
    <row r="10" spans="1:13" ht="36" x14ac:dyDescent="0.25">
      <c r="A10" s="13" t="s">
        <v>132</v>
      </c>
      <c r="B10" s="26" t="s">
        <v>113</v>
      </c>
      <c r="C10" s="31">
        <v>8.9999999999999993E-3</v>
      </c>
      <c r="D10" s="31">
        <v>8.9999999999999993E-3</v>
      </c>
      <c r="E10" s="31">
        <v>8.9999999999999993E-3</v>
      </c>
      <c r="F10" s="26" t="s">
        <v>133</v>
      </c>
      <c r="G10" s="26" t="s">
        <v>106</v>
      </c>
      <c r="H10" s="13" t="s">
        <v>121</v>
      </c>
      <c r="I10" s="13" t="s">
        <v>122</v>
      </c>
      <c r="J10" s="26" t="s">
        <v>123</v>
      </c>
      <c r="K10" s="26" t="s">
        <v>110</v>
      </c>
      <c r="L10" s="28">
        <v>46217</v>
      </c>
      <c r="M10" s="13" t="s">
        <v>134</v>
      </c>
    </row>
    <row r="11" spans="1:13" ht="36" x14ac:dyDescent="0.25">
      <c r="A11" s="13" t="s">
        <v>135</v>
      </c>
      <c r="B11" s="26" t="s">
        <v>113</v>
      </c>
      <c r="C11" s="31">
        <v>1.2999999999999999E-2</v>
      </c>
      <c r="D11" s="31">
        <v>1.2999999999999999E-2</v>
      </c>
      <c r="E11" s="31">
        <v>1.2999999999999999E-2</v>
      </c>
      <c r="F11" s="26" t="s">
        <v>133</v>
      </c>
      <c r="G11" s="26" t="s">
        <v>106</v>
      </c>
      <c r="H11" s="13" t="s">
        <v>121</v>
      </c>
      <c r="I11" s="13" t="s">
        <v>122</v>
      </c>
      <c r="J11" s="26" t="s">
        <v>123</v>
      </c>
      <c r="K11" s="26" t="s">
        <v>110</v>
      </c>
      <c r="L11" s="28">
        <v>46217</v>
      </c>
      <c r="M11" s="13" t="s">
        <v>136</v>
      </c>
    </row>
    <row r="12" spans="1:13" ht="36" x14ac:dyDescent="0.25">
      <c r="A12" s="13" t="s">
        <v>137</v>
      </c>
      <c r="B12" s="26" t="s">
        <v>138</v>
      </c>
      <c r="C12" s="31">
        <v>4.1000000000000003E-3</v>
      </c>
      <c r="D12" s="31">
        <v>4.1000000000000003E-3</v>
      </c>
      <c r="E12" s="31">
        <v>4.1000000000000003E-3</v>
      </c>
      <c r="F12" s="26" t="s">
        <v>133</v>
      </c>
      <c r="G12" s="26" t="s">
        <v>106</v>
      </c>
      <c r="H12" s="13" t="s">
        <v>121</v>
      </c>
      <c r="I12" s="13" t="s">
        <v>122</v>
      </c>
      <c r="J12" s="26" t="s">
        <v>139</v>
      </c>
      <c r="K12" s="26" t="s">
        <v>110</v>
      </c>
      <c r="L12" s="28">
        <v>46217</v>
      </c>
      <c r="M12" s="13" t="s">
        <v>140</v>
      </c>
    </row>
    <row r="13" spans="1:13" ht="36" x14ac:dyDescent="0.25">
      <c r="A13" s="13" t="s">
        <v>141</v>
      </c>
      <c r="B13" s="26" t="s">
        <v>142</v>
      </c>
      <c r="C13" s="30">
        <v>0.3</v>
      </c>
      <c r="D13" s="30">
        <v>0.3</v>
      </c>
      <c r="E13" s="30">
        <v>0.3</v>
      </c>
      <c r="F13" s="26" t="s">
        <v>143</v>
      </c>
      <c r="G13" s="26" t="s">
        <v>106</v>
      </c>
      <c r="H13" s="13" t="s">
        <v>121</v>
      </c>
      <c r="I13" s="13" t="s">
        <v>122</v>
      </c>
      <c r="J13" s="26" t="s">
        <v>123</v>
      </c>
      <c r="K13" s="26" t="s">
        <v>110</v>
      </c>
      <c r="L13" s="28">
        <v>46217</v>
      </c>
      <c r="M13" s="13" t="s">
        <v>144</v>
      </c>
    </row>
    <row r="14" spans="1:13" ht="36" x14ac:dyDescent="0.25">
      <c r="A14" s="13" t="s">
        <v>145</v>
      </c>
      <c r="B14" s="26" t="s">
        <v>142</v>
      </c>
      <c r="C14" s="31">
        <v>0.5</v>
      </c>
      <c r="D14" s="31">
        <v>0.5</v>
      </c>
      <c r="E14" s="31">
        <v>0.5</v>
      </c>
      <c r="F14" s="26" t="s">
        <v>146</v>
      </c>
      <c r="G14" s="26" t="s">
        <v>106</v>
      </c>
      <c r="H14" s="13" t="s">
        <v>121</v>
      </c>
      <c r="I14" s="13" t="s">
        <v>122</v>
      </c>
      <c r="J14" s="26" t="s">
        <v>123</v>
      </c>
      <c r="K14" s="26" t="s">
        <v>110</v>
      </c>
      <c r="L14" s="28">
        <v>46217</v>
      </c>
      <c r="M14" s="13" t="s">
        <v>147</v>
      </c>
    </row>
    <row r="15" spans="1:13" ht="36" x14ac:dyDescent="0.25">
      <c r="A15" s="13" t="s">
        <v>148</v>
      </c>
      <c r="B15" s="26" t="s">
        <v>119</v>
      </c>
      <c r="C15" s="30">
        <v>0.1</v>
      </c>
      <c r="D15" s="30">
        <v>0.1</v>
      </c>
      <c r="E15" s="30">
        <v>0.1</v>
      </c>
      <c r="F15" s="26" t="s">
        <v>149</v>
      </c>
      <c r="G15" s="26" t="s">
        <v>106</v>
      </c>
      <c r="H15" s="13" t="s">
        <v>121</v>
      </c>
      <c r="I15" s="13" t="s">
        <v>122</v>
      </c>
      <c r="J15" s="26" t="s">
        <v>123</v>
      </c>
      <c r="K15" s="26" t="s">
        <v>110</v>
      </c>
      <c r="L15" s="28">
        <v>46217</v>
      </c>
      <c r="M15" s="13" t="s">
        <v>150</v>
      </c>
    </row>
    <row r="16" spans="1:13" ht="36" x14ac:dyDescent="0.25">
      <c r="A16" s="13" t="s">
        <v>151</v>
      </c>
      <c r="B16" s="26" t="s">
        <v>113</v>
      </c>
      <c r="C16" s="30">
        <v>0.01</v>
      </c>
      <c r="D16" s="30">
        <v>0.01</v>
      </c>
      <c r="E16" s="30">
        <v>0.01</v>
      </c>
      <c r="F16" s="26" t="s">
        <v>130</v>
      </c>
      <c r="G16" s="26" t="s">
        <v>106</v>
      </c>
      <c r="H16" s="13" t="s">
        <v>121</v>
      </c>
      <c r="I16" s="13" t="s">
        <v>122</v>
      </c>
      <c r="J16" s="26" t="s">
        <v>123</v>
      </c>
      <c r="K16" s="26" t="s">
        <v>110</v>
      </c>
      <c r="L16" s="28">
        <v>46217</v>
      </c>
      <c r="M16" s="13" t="s">
        <v>152</v>
      </c>
    </row>
    <row r="17" spans="1:13" ht="24" x14ac:dyDescent="0.25">
      <c r="A17" s="13" t="s">
        <v>153</v>
      </c>
      <c r="B17" s="26" t="s">
        <v>154</v>
      </c>
      <c r="C17" s="27">
        <v>146.30000000000001</v>
      </c>
      <c r="D17" s="27">
        <v>146.30000000000001</v>
      </c>
      <c r="E17" s="27">
        <v>146.30000000000001</v>
      </c>
      <c r="F17" s="26" t="s">
        <v>105</v>
      </c>
      <c r="G17" s="26" t="s">
        <v>106</v>
      </c>
      <c r="H17" s="13" t="s">
        <v>155</v>
      </c>
      <c r="I17" s="13" t="s">
        <v>108</v>
      </c>
      <c r="J17" s="26" t="s">
        <v>109</v>
      </c>
      <c r="K17" s="26" t="s">
        <v>110</v>
      </c>
      <c r="L17" s="28">
        <v>46217</v>
      </c>
      <c r="M17" s="13" t="s">
        <v>156</v>
      </c>
    </row>
    <row r="18" spans="1:13" ht="24" x14ac:dyDescent="0.25">
      <c r="A18" s="13" t="s">
        <v>157</v>
      </c>
      <c r="B18" s="26" t="s">
        <v>154</v>
      </c>
      <c r="C18" s="27">
        <v>403.7</v>
      </c>
      <c r="D18" s="27">
        <v>403.7</v>
      </c>
      <c r="E18" s="27">
        <v>403.7</v>
      </c>
      <c r="F18" s="26" t="s">
        <v>105</v>
      </c>
      <c r="G18" s="26" t="s">
        <v>106</v>
      </c>
      <c r="H18" s="13" t="s">
        <v>155</v>
      </c>
      <c r="I18" s="13" t="s">
        <v>108</v>
      </c>
      <c r="J18" s="26" t="s">
        <v>109</v>
      </c>
      <c r="K18" s="26" t="s">
        <v>110</v>
      </c>
      <c r="L18" s="28">
        <v>46217</v>
      </c>
      <c r="M18" s="13" t="s">
        <v>158</v>
      </c>
    </row>
    <row r="19" spans="1:13" ht="36" x14ac:dyDescent="0.25">
      <c r="A19" s="13" t="s">
        <v>159</v>
      </c>
      <c r="B19" s="26" t="s">
        <v>160</v>
      </c>
      <c r="C19" s="27">
        <v>255.5</v>
      </c>
      <c r="D19" s="27">
        <v>255.5</v>
      </c>
      <c r="E19" s="27">
        <v>255.5</v>
      </c>
      <c r="F19" s="26" t="s">
        <v>161</v>
      </c>
      <c r="G19" s="26" t="s">
        <v>106</v>
      </c>
      <c r="H19" s="13" t="s">
        <v>162</v>
      </c>
      <c r="I19" s="13" t="s">
        <v>122</v>
      </c>
      <c r="J19" s="26" t="s">
        <v>123</v>
      </c>
      <c r="K19" s="26" t="s">
        <v>110</v>
      </c>
      <c r="L19" s="28">
        <v>46217</v>
      </c>
      <c r="M19" s="13" t="s">
        <v>163</v>
      </c>
    </row>
    <row r="20" spans="1:13" ht="24" x14ac:dyDescent="0.25">
      <c r="A20" s="13" t="s">
        <v>164</v>
      </c>
      <c r="B20" s="26" t="s">
        <v>165</v>
      </c>
      <c r="C20" s="32">
        <v>0.85</v>
      </c>
      <c r="D20" s="32">
        <v>0.85</v>
      </c>
      <c r="E20" s="32">
        <v>0.85</v>
      </c>
      <c r="F20" s="26" t="s">
        <v>166</v>
      </c>
      <c r="G20" s="26" t="s">
        <v>167</v>
      </c>
      <c r="H20" s="13" t="s">
        <v>168</v>
      </c>
      <c r="I20" s="13"/>
      <c r="J20" s="26" t="s">
        <v>139</v>
      </c>
      <c r="K20" s="26" t="s">
        <v>110</v>
      </c>
      <c r="L20" s="28">
        <v>46217</v>
      </c>
      <c r="M20" s="13" t="s">
        <v>169</v>
      </c>
    </row>
    <row r="21" spans="1:13" ht="24" x14ac:dyDescent="0.25">
      <c r="A21" s="13" t="s">
        <v>170</v>
      </c>
      <c r="B21" s="26" t="s">
        <v>165</v>
      </c>
      <c r="C21" s="33">
        <v>0.6</v>
      </c>
      <c r="D21" s="33">
        <v>0.6</v>
      </c>
      <c r="E21" s="33">
        <v>0.6</v>
      </c>
      <c r="F21" s="26" t="s">
        <v>171</v>
      </c>
      <c r="G21" s="26" t="s">
        <v>167</v>
      </c>
      <c r="H21" s="13" t="s">
        <v>168</v>
      </c>
      <c r="I21" s="13"/>
      <c r="J21" s="26" t="s">
        <v>139</v>
      </c>
      <c r="K21" s="26" t="s">
        <v>110</v>
      </c>
      <c r="L21" s="28">
        <v>46217</v>
      </c>
      <c r="M21" s="13" t="s">
        <v>172</v>
      </c>
    </row>
    <row r="22" spans="1:13" x14ac:dyDescent="0.25">
      <c r="A22" s="13" t="s">
        <v>173</v>
      </c>
      <c r="B22" s="26" t="s">
        <v>165</v>
      </c>
      <c r="C22" s="33">
        <v>0.25</v>
      </c>
      <c r="D22" s="33">
        <v>0.25</v>
      </c>
      <c r="E22" s="33">
        <v>0.25</v>
      </c>
      <c r="F22" s="26" t="s">
        <v>174</v>
      </c>
      <c r="G22" s="26" t="s">
        <v>167</v>
      </c>
      <c r="H22" s="13" t="s">
        <v>168</v>
      </c>
      <c r="I22" s="13"/>
      <c r="J22" s="26" t="s">
        <v>139</v>
      </c>
      <c r="K22" s="26" t="s">
        <v>110</v>
      </c>
      <c r="L22" s="28">
        <v>46217</v>
      </c>
      <c r="M22" s="13" t="s">
        <v>175</v>
      </c>
    </row>
    <row r="25" spans="1:13" ht="20.100000000000001" customHeight="1" x14ac:dyDescent="0.25">
      <c r="A25" s="49" t="s">
        <v>176</v>
      </c>
      <c r="B25" s="45"/>
      <c r="C25" s="45"/>
      <c r="D25" s="45"/>
      <c r="E25" s="45"/>
      <c r="F25" s="45"/>
      <c r="G25" s="45"/>
      <c r="H25" s="45"/>
      <c r="I25" s="45"/>
      <c r="J25" s="45"/>
      <c r="K25" s="45"/>
      <c r="L25" s="45"/>
      <c r="M25" s="45"/>
    </row>
    <row r="26" spans="1:13" ht="30" customHeight="1" x14ac:dyDescent="0.25">
      <c r="A26" s="4" t="s">
        <v>63</v>
      </c>
      <c r="B26" s="4" t="s">
        <v>177</v>
      </c>
      <c r="C26" s="4" t="s">
        <v>178</v>
      </c>
      <c r="D26" s="4" t="s">
        <v>179</v>
      </c>
      <c r="E26" s="4" t="s">
        <v>64</v>
      </c>
      <c r="F26" s="4" t="s">
        <v>55</v>
      </c>
    </row>
    <row r="27" spans="1:13" ht="36" x14ac:dyDescent="0.25">
      <c r="A27" s="26" t="s">
        <v>66</v>
      </c>
      <c r="B27" s="34">
        <v>1</v>
      </c>
      <c r="C27" s="34">
        <v>1</v>
      </c>
      <c r="D27" s="34">
        <v>1</v>
      </c>
      <c r="E27" s="35">
        <v>0.55000000000000004</v>
      </c>
      <c r="F27" s="13" t="s">
        <v>67</v>
      </c>
    </row>
    <row r="28" spans="1:13" ht="60" x14ac:dyDescent="0.25">
      <c r="A28" s="26" t="s">
        <v>68</v>
      </c>
      <c r="B28" s="34">
        <v>1.25</v>
      </c>
      <c r="C28" s="34">
        <v>0.8</v>
      </c>
      <c r="D28" s="34">
        <v>1.2</v>
      </c>
      <c r="E28" s="35">
        <v>0.22</v>
      </c>
      <c r="F28" s="13" t="s">
        <v>69</v>
      </c>
    </row>
    <row r="29" spans="1:13" ht="48" x14ac:dyDescent="0.25">
      <c r="A29" s="26" t="s">
        <v>70</v>
      </c>
      <c r="B29" s="34">
        <v>0.75</v>
      </c>
      <c r="C29" s="34">
        <v>1.25</v>
      </c>
      <c r="D29" s="34">
        <v>0.7</v>
      </c>
      <c r="E29" s="35">
        <v>0.23</v>
      </c>
      <c r="F29" s="13" t="s">
        <v>71</v>
      </c>
    </row>
  </sheetData>
  <autoFilter ref="A4:M22" xr:uid="{00000000-0009-0000-0000-000004000000}"/>
  <mergeCells count="3">
    <mergeCell ref="A25:M25"/>
    <mergeCell ref="A2:M2"/>
    <mergeCell ref="A1:M1"/>
  </mergeCells>
  <pageMargins left="0.75" right="0.75" top="1" bottom="1" header="0.5" footer="0.5"/>
  <pageSetup orientation="landscape"/>
  <headerFooter>
    <oddFooter>&amp;CVietnam carbon tax impact simulation | v1.0 | 14 Jul 2026</oddFooter>
  </headerFooter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2C6FA6"/>
    <pageSetUpPr fitToPage="1"/>
  </sheetPr>
  <dimension ref="A1:AI19"/>
  <sheetViews>
    <sheetView showGridLines="0" workbookViewId="0">
      <pane xSplit="2" ySplit="4" topLeftCell="C5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24" customWidth="1"/>
    <col min="2" max="35" width="14" customWidth="1"/>
  </cols>
  <sheetData>
    <row r="1" spans="1:35" ht="30" customHeight="1" x14ac:dyDescent="0.25">
      <c r="A1" s="50" t="s">
        <v>180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S1" s="45"/>
      <c r="T1" s="45"/>
      <c r="U1" s="45"/>
      <c r="V1" s="45"/>
      <c r="W1" s="45"/>
      <c r="X1" s="45"/>
      <c r="Y1" s="45"/>
      <c r="Z1" s="45"/>
      <c r="AA1" s="45"/>
      <c r="AB1" s="45"/>
      <c r="AC1" s="45"/>
      <c r="AD1" s="45"/>
      <c r="AE1" s="45"/>
      <c r="AF1" s="45"/>
      <c r="AG1" s="45"/>
      <c r="AH1" s="45"/>
      <c r="AI1" s="45"/>
    </row>
    <row r="2" spans="1:35" ht="27.95" customHeight="1" x14ac:dyDescent="0.25">
      <c r="A2" s="46" t="s">
        <v>181</v>
      </c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</row>
    <row r="4" spans="1:35" ht="30" customHeight="1" x14ac:dyDescent="0.25">
      <c r="A4" s="4" t="s">
        <v>38</v>
      </c>
      <c r="B4" s="4" t="s">
        <v>63</v>
      </c>
      <c r="C4" s="4" t="s">
        <v>182</v>
      </c>
      <c r="D4" s="4" t="s">
        <v>160</v>
      </c>
      <c r="E4" s="4" t="s">
        <v>183</v>
      </c>
      <c r="F4" s="4" t="s">
        <v>184</v>
      </c>
      <c r="G4" s="4" t="s">
        <v>185</v>
      </c>
      <c r="H4" s="4" t="s">
        <v>186</v>
      </c>
      <c r="I4" s="4" t="s">
        <v>187</v>
      </c>
      <c r="J4" s="4" t="s">
        <v>188</v>
      </c>
      <c r="K4" s="4" t="s">
        <v>189</v>
      </c>
      <c r="L4" s="4" t="s">
        <v>179</v>
      </c>
      <c r="M4" s="4" t="s">
        <v>190</v>
      </c>
      <c r="N4" s="4" t="s">
        <v>191</v>
      </c>
      <c r="O4" s="4" t="s">
        <v>192</v>
      </c>
      <c r="P4" s="4" t="s">
        <v>193</v>
      </c>
      <c r="Q4" s="4" t="s">
        <v>194</v>
      </c>
      <c r="R4" s="4" t="s">
        <v>195</v>
      </c>
      <c r="S4" s="4" t="s">
        <v>196</v>
      </c>
      <c r="T4" s="4" t="s">
        <v>197</v>
      </c>
      <c r="U4" s="4" t="s">
        <v>198</v>
      </c>
      <c r="V4" s="4" t="s">
        <v>199</v>
      </c>
      <c r="W4" s="4" t="s">
        <v>200</v>
      </c>
      <c r="X4" s="4" t="s">
        <v>201</v>
      </c>
      <c r="Y4" s="4" t="s">
        <v>202</v>
      </c>
      <c r="Z4" s="4" t="s">
        <v>203</v>
      </c>
      <c r="AA4" s="4" t="s">
        <v>204</v>
      </c>
      <c r="AB4" s="4" t="s">
        <v>205</v>
      </c>
      <c r="AC4" s="4" t="s">
        <v>206</v>
      </c>
      <c r="AD4" s="4" t="s">
        <v>207</v>
      </c>
      <c r="AE4" s="4" t="s">
        <v>208</v>
      </c>
      <c r="AF4" s="4" t="s">
        <v>209</v>
      </c>
      <c r="AG4" s="4" t="s">
        <v>210</v>
      </c>
      <c r="AH4" s="4" t="s">
        <v>211</v>
      </c>
      <c r="AI4" s="4" t="s">
        <v>212</v>
      </c>
    </row>
    <row r="5" spans="1:35" x14ac:dyDescent="0.25">
      <c r="A5" s="26" t="s">
        <v>19</v>
      </c>
      <c r="B5" s="26" t="s">
        <v>66</v>
      </c>
      <c r="C5" s="26">
        <f>pilot_ets_price</f>
        <v>5</v>
      </c>
      <c r="D5" s="36">
        <f>pilot_ets_coverage</f>
        <v>0.27535294751589612</v>
      </c>
      <c r="E5" s="36">
        <f>pilot_ets_exemption</f>
        <v>0.8</v>
      </c>
      <c r="F5" s="36">
        <f>pilot_ets_recycling</f>
        <v>0.2</v>
      </c>
      <c r="G5" s="36">
        <f>pilot_ets_efficiency</f>
        <v>0.01</v>
      </c>
      <c r="H5" s="36">
        <f>pilot_ets_collection</f>
        <v>0.9</v>
      </c>
      <c r="I5" s="36">
        <f>pilot_ets_leakage</f>
        <v>0.2</v>
      </c>
      <c r="J5" s="26">
        <f>scenario_base_response_multiplier</f>
        <v>1</v>
      </c>
      <c r="K5" s="26">
        <f>scenario_base_gdp_drag_multiplier</f>
        <v>1</v>
      </c>
      <c r="L5" s="26">
        <f>scenario_base_efficiency_realization</f>
        <v>1</v>
      </c>
      <c r="M5" s="36">
        <f t="shared" ref="M5:M19" si="0">D5*(1-E5)</f>
        <v>5.507058950317921E-2</v>
      </c>
      <c r="N5" s="36">
        <f t="shared" ref="N5:N19" si="1">MIN(1,base_anchor_emissions_reduction*(C5/base_anchor_carbon_price)^base_price_response_exponent*M5*J5)</f>
        <v>6.2771810760326775E-4</v>
      </c>
      <c r="O5" s="36">
        <f t="shared" ref="O5:O19" si="2">MIN(1-N5,G5*base_efficiency_to_emissions_pass_through*L5)</f>
        <v>6.0000000000000001E-3</v>
      </c>
      <c r="P5" s="36">
        <f t="shared" ref="P5:P19" si="3">N5+O5</f>
        <v>6.6277181076032678E-3</v>
      </c>
      <c r="Q5" s="36">
        <f t="shared" ref="Q5:Q19" si="4">P5*(1-I5)</f>
        <v>5.3021744860826149E-3</v>
      </c>
      <c r="R5" s="37">
        <f t="shared" ref="R5:R19" si="5">base_baseline_ghg_emissions*Q5</f>
        <v>4.9198877056360582</v>
      </c>
      <c r="S5" s="37">
        <f t="shared" ref="S5:S19" si="6">base_baseline_ghg_emissions-R5</f>
        <v>922.98011229436395</v>
      </c>
      <c r="T5" s="37">
        <f t="shared" ref="T5:T19" si="7">base_baseline_ghg_emissions*M5*(1-P5)</f>
        <v>50.76132360470146</v>
      </c>
      <c r="U5" s="37">
        <f t="shared" ref="U5:U19" si="8">C5*T5/1000</f>
        <v>0.25380661802350729</v>
      </c>
      <c r="V5" s="37">
        <f t="shared" ref="V5:V19" si="9">U5*H5</f>
        <v>0.22842595622115658</v>
      </c>
      <c r="W5" s="37">
        <f t="shared" ref="W5:W19" si="10">V5*F5</f>
        <v>4.5685191244231316E-2</v>
      </c>
      <c r="X5" s="37">
        <f t="shared" ref="X5:X19" si="11">V5-W5</f>
        <v>0.18274076497692526</v>
      </c>
      <c r="Y5" s="36">
        <f t="shared" ref="Y5:Y19" si="12">-base_anchor_gdp_drag*(C5/base_anchor_carbon_price)^base_price_response_exponent*M5*K5</f>
        <v>-1.7316361589055662E-4</v>
      </c>
      <c r="Z5" s="36">
        <f t="shared" ref="Z5:Z19" si="13">IF(base_efficiency_benchmark=0,0,G5/base_efficiency_benchmark*base_efficiency_gdp_benefit_at_benchmark*L5)</f>
        <v>1E-3</v>
      </c>
      <c r="AA5" s="36">
        <f t="shared" ref="AA5:AA19" si="14">-Y5*MIN(1,F5/base_revenue_recycling_threshold)*base_recycling_gdp_offset_at_threshold</f>
        <v>2.8860602648426108E-5</v>
      </c>
      <c r="AB5" s="36">
        <f t="shared" ref="AB5:AB19" si="15">Y5+Z5+AA5</f>
        <v>8.5569698675786951E-4</v>
      </c>
      <c r="AC5" s="37">
        <f t="shared" ref="AC5:AC19" si="16">base_reference_nominal_gdp*AB5</f>
        <v>0.40764548752158142</v>
      </c>
      <c r="AD5" s="36">
        <f t="shared" ref="AD5:AD19" si="17">-base_anchor_trade_drag*(C5/base_anchor_carbon_price)^base_price_response_exponent*M5*K5</f>
        <v>-1.9480906787687618E-4</v>
      </c>
      <c r="AE5" s="36">
        <f t="shared" ref="AE5:AE19" si="18">-base_anchor_investment_drag*(C5/base_anchor_carbon_price)^base_price_response_exponent*M5*K5</f>
        <v>-2.8139087582215445E-4</v>
      </c>
      <c r="AF5" s="36">
        <f t="shared" ref="AF5:AF19" si="19">base_anchor_government_revenue_index_uplift*(C5/base_anchor_carbon_price)^base_price_response_exponent*M5*H5</f>
        <v>7.9871717829519236E-5</v>
      </c>
      <c r="AG5" s="36">
        <f t="shared" ref="AG5:AG19" si="20">MIN(base_bottom_households_potentially_compensated,base_bottom_households_potentially_compensated*F5/base_revenue_recycling_threshold)</f>
        <v>0.33333333333333337</v>
      </c>
      <c r="AH5" s="36">
        <f t="shared" ref="AH5:AH19" si="21">R5/base_ndc_unconditional_reduction</f>
        <v>3.3628760804074218E-2</v>
      </c>
      <c r="AI5" s="37">
        <f t="shared" ref="AI5:AI19" si="22">IF(R5=0,0,V5*1000/R5)</f>
        <v>46.429099582797285</v>
      </c>
    </row>
    <row r="6" spans="1:35" x14ac:dyDescent="0.25">
      <c r="A6" s="26" t="s">
        <v>19</v>
      </c>
      <c r="B6" s="26" t="s">
        <v>68</v>
      </c>
      <c r="C6" s="26">
        <f>pilot_ets_price</f>
        <v>5</v>
      </c>
      <c r="D6" s="36">
        <f>pilot_ets_coverage</f>
        <v>0.27535294751589612</v>
      </c>
      <c r="E6" s="36">
        <f>pilot_ets_exemption</f>
        <v>0.8</v>
      </c>
      <c r="F6" s="36">
        <f>pilot_ets_recycling</f>
        <v>0.2</v>
      </c>
      <c r="G6" s="36">
        <f>pilot_ets_efficiency</f>
        <v>0.01</v>
      </c>
      <c r="H6" s="36">
        <f>pilot_ets_collection</f>
        <v>0.9</v>
      </c>
      <c r="I6" s="36">
        <f>pilot_ets_leakage</f>
        <v>0.2</v>
      </c>
      <c r="J6" s="26">
        <f>scenario_bull_response_multiplier</f>
        <v>1.25</v>
      </c>
      <c r="K6" s="26">
        <f>scenario_bull_gdp_drag_multiplier</f>
        <v>0.8</v>
      </c>
      <c r="L6" s="26">
        <f>scenario_bull_efficiency_realization</f>
        <v>1.2</v>
      </c>
      <c r="M6" s="36">
        <f t="shared" si="0"/>
        <v>5.507058950317921E-2</v>
      </c>
      <c r="N6" s="36">
        <f t="shared" si="1"/>
        <v>7.8464763450408466E-4</v>
      </c>
      <c r="O6" s="36">
        <f t="shared" si="2"/>
        <v>7.1999999999999998E-3</v>
      </c>
      <c r="P6" s="36">
        <f t="shared" si="3"/>
        <v>7.9846476345040839E-3</v>
      </c>
      <c r="Q6" s="36">
        <f t="shared" si="4"/>
        <v>6.3877181076032671E-3</v>
      </c>
      <c r="R6" s="37">
        <f t="shared" si="5"/>
        <v>5.9271636320450716</v>
      </c>
      <c r="S6" s="37">
        <f t="shared" si="6"/>
        <v>921.97283636795487</v>
      </c>
      <c r="T6" s="37">
        <f t="shared" si="7"/>
        <v>50.691984505876825</v>
      </c>
      <c r="U6" s="37">
        <f t="shared" si="8"/>
        <v>0.25345992252938415</v>
      </c>
      <c r="V6" s="37">
        <f t="shared" si="9"/>
        <v>0.22811393027644575</v>
      </c>
      <c r="W6" s="37">
        <f t="shared" si="10"/>
        <v>4.5622786055289154E-2</v>
      </c>
      <c r="X6" s="37">
        <f t="shared" si="11"/>
        <v>0.18249114422115659</v>
      </c>
      <c r="Y6" s="36">
        <f t="shared" si="12"/>
        <v>-1.385308927124453E-4</v>
      </c>
      <c r="Z6" s="36">
        <f t="shared" si="13"/>
        <v>1.1999999999999999E-3</v>
      </c>
      <c r="AA6" s="36">
        <f t="shared" si="14"/>
        <v>2.3088482118740885E-5</v>
      </c>
      <c r="AB6" s="36">
        <f t="shared" si="15"/>
        <v>1.0845575894062954E-3</v>
      </c>
      <c r="AC6" s="37">
        <f t="shared" si="16"/>
        <v>0.51667239001726506</v>
      </c>
      <c r="AD6" s="36">
        <f t="shared" si="17"/>
        <v>-1.5584725430150095E-4</v>
      </c>
      <c r="AE6" s="36">
        <f t="shared" si="18"/>
        <v>-2.2511270065772357E-4</v>
      </c>
      <c r="AF6" s="36">
        <f t="shared" si="19"/>
        <v>7.9871717829519236E-5</v>
      </c>
      <c r="AG6" s="36">
        <f t="shared" si="20"/>
        <v>0.33333333333333337</v>
      </c>
      <c r="AH6" s="36">
        <f t="shared" si="21"/>
        <v>4.0513763718694952E-2</v>
      </c>
      <c r="AI6" s="37">
        <f t="shared" si="22"/>
        <v>38.486187397147788</v>
      </c>
    </row>
    <row r="7" spans="1:35" x14ac:dyDescent="0.25">
      <c r="A7" s="26" t="s">
        <v>19</v>
      </c>
      <c r="B7" s="26" t="s">
        <v>70</v>
      </c>
      <c r="C7" s="26">
        <f>pilot_ets_price</f>
        <v>5</v>
      </c>
      <c r="D7" s="36">
        <f>pilot_ets_coverage</f>
        <v>0.27535294751589612</v>
      </c>
      <c r="E7" s="36">
        <f>pilot_ets_exemption</f>
        <v>0.8</v>
      </c>
      <c r="F7" s="36">
        <f>pilot_ets_recycling</f>
        <v>0.2</v>
      </c>
      <c r="G7" s="36">
        <f>pilot_ets_efficiency</f>
        <v>0.01</v>
      </c>
      <c r="H7" s="36">
        <f>pilot_ets_collection</f>
        <v>0.9</v>
      </c>
      <c r="I7" s="36">
        <f>pilot_ets_leakage</f>
        <v>0.2</v>
      </c>
      <c r="J7" s="26">
        <f>scenario_bear_response_multiplier</f>
        <v>0.75</v>
      </c>
      <c r="K7" s="26">
        <f>scenario_bear_gdp_drag_multiplier</f>
        <v>1.25</v>
      </c>
      <c r="L7" s="26">
        <f>scenario_bear_efficiency_realization</f>
        <v>0.7</v>
      </c>
      <c r="M7" s="36">
        <f t="shared" si="0"/>
        <v>5.507058950317921E-2</v>
      </c>
      <c r="N7" s="36">
        <f t="shared" si="1"/>
        <v>4.7078858070245084E-4</v>
      </c>
      <c r="O7" s="36">
        <f t="shared" si="2"/>
        <v>4.1999999999999997E-3</v>
      </c>
      <c r="P7" s="36">
        <f t="shared" si="3"/>
        <v>4.6707885807024509E-3</v>
      </c>
      <c r="Q7" s="36">
        <f t="shared" si="4"/>
        <v>3.736630864561961E-3</v>
      </c>
      <c r="R7" s="37">
        <f t="shared" si="5"/>
        <v>3.4672197792270434</v>
      </c>
      <c r="S7" s="37">
        <f t="shared" si="6"/>
        <v>924.43278022077288</v>
      </c>
      <c r="T7" s="37">
        <f t="shared" si="7"/>
        <v>50.861322703526092</v>
      </c>
      <c r="U7" s="37">
        <f t="shared" si="8"/>
        <v>0.25430661351763045</v>
      </c>
      <c r="V7" s="37">
        <f t="shared" si="9"/>
        <v>0.22887595216586742</v>
      </c>
      <c r="W7" s="37">
        <f t="shared" si="10"/>
        <v>4.577519043317349E-2</v>
      </c>
      <c r="X7" s="37">
        <f t="shared" si="11"/>
        <v>0.18310076173269393</v>
      </c>
      <c r="Y7" s="36">
        <f t="shared" si="12"/>
        <v>-2.1645451986319577E-4</v>
      </c>
      <c r="Z7" s="36">
        <f t="shared" si="13"/>
        <v>6.9999999999999999E-4</v>
      </c>
      <c r="AA7" s="36">
        <f t="shared" si="14"/>
        <v>3.6075753310532635E-5</v>
      </c>
      <c r="AB7" s="36">
        <f t="shared" si="15"/>
        <v>5.1962123344733682E-4</v>
      </c>
      <c r="AC7" s="37">
        <f t="shared" si="16"/>
        <v>0.24754235940197677</v>
      </c>
      <c r="AD7" s="36">
        <f t="shared" si="17"/>
        <v>-2.4351133484609523E-4</v>
      </c>
      <c r="AE7" s="36">
        <f t="shared" si="18"/>
        <v>-3.5173859477769307E-4</v>
      </c>
      <c r="AF7" s="36">
        <f t="shared" si="19"/>
        <v>7.9871717829519236E-5</v>
      </c>
      <c r="AG7" s="36">
        <f t="shared" si="20"/>
        <v>0.33333333333333337</v>
      </c>
      <c r="AH7" s="36">
        <f t="shared" si="21"/>
        <v>2.3699383316657847E-2</v>
      </c>
      <c r="AI7" s="37">
        <f t="shared" si="22"/>
        <v>66.011377051180574</v>
      </c>
    </row>
    <row r="8" spans="1:35" x14ac:dyDescent="0.25">
      <c r="A8" s="26" t="s">
        <v>20</v>
      </c>
      <c r="B8" s="26" t="s">
        <v>66</v>
      </c>
      <c r="C8" s="26">
        <f>tax_only_price</f>
        <v>15</v>
      </c>
      <c r="D8" s="36">
        <f>tax_only_coverage</f>
        <v>1</v>
      </c>
      <c r="E8" s="36">
        <f>tax_only_exemption</f>
        <v>0</v>
      </c>
      <c r="F8" s="36">
        <f>tax_only_recycling</f>
        <v>0</v>
      </c>
      <c r="G8" s="36">
        <f>tax_only_efficiency</f>
        <v>0</v>
      </c>
      <c r="H8" s="36">
        <f>tax_only_collection</f>
        <v>0.95</v>
      </c>
      <c r="I8" s="36">
        <f>tax_only_leakage</f>
        <v>0</v>
      </c>
      <c r="J8" s="26">
        <f>scenario_base_response_multiplier</f>
        <v>1</v>
      </c>
      <c r="K8" s="26">
        <f>scenario_base_gdp_drag_multiplier</f>
        <v>1</v>
      </c>
      <c r="L8" s="26">
        <f>scenario_base_efficiency_realization</f>
        <v>1</v>
      </c>
      <c r="M8" s="36">
        <f t="shared" si="0"/>
        <v>1</v>
      </c>
      <c r="N8" s="36">
        <f t="shared" si="1"/>
        <v>2.9000000000000001E-2</v>
      </c>
      <c r="O8" s="36">
        <f t="shared" si="2"/>
        <v>0</v>
      </c>
      <c r="P8" s="36">
        <f t="shared" si="3"/>
        <v>2.9000000000000001E-2</v>
      </c>
      <c r="Q8" s="36">
        <f t="shared" si="4"/>
        <v>2.9000000000000001E-2</v>
      </c>
      <c r="R8" s="37">
        <f t="shared" si="5"/>
        <v>26.909100000000002</v>
      </c>
      <c r="S8" s="37">
        <f t="shared" si="6"/>
        <v>900.99090000000001</v>
      </c>
      <c r="T8" s="37">
        <f t="shared" si="7"/>
        <v>900.99090000000001</v>
      </c>
      <c r="U8" s="37">
        <f t="shared" si="8"/>
        <v>13.514863499999999</v>
      </c>
      <c r="V8" s="37">
        <f t="shared" si="9"/>
        <v>12.839120324999998</v>
      </c>
      <c r="W8" s="37">
        <f t="shared" si="10"/>
        <v>0</v>
      </c>
      <c r="X8" s="37">
        <f t="shared" si="11"/>
        <v>12.839120324999998</v>
      </c>
      <c r="Y8" s="36">
        <f t="shared" si="12"/>
        <v>-8.0000000000000002E-3</v>
      </c>
      <c r="Z8" s="36">
        <f t="shared" si="13"/>
        <v>0</v>
      </c>
      <c r="AA8" s="36">
        <f t="shared" si="14"/>
        <v>0</v>
      </c>
      <c r="AB8" s="36">
        <f t="shared" si="15"/>
        <v>-8.0000000000000002E-3</v>
      </c>
      <c r="AC8" s="37">
        <f t="shared" si="16"/>
        <v>-3.8111199999999998</v>
      </c>
      <c r="AD8" s="36">
        <f t="shared" si="17"/>
        <v>-8.9999999999999993E-3</v>
      </c>
      <c r="AE8" s="36">
        <f t="shared" si="18"/>
        <v>-1.2999999999999999E-2</v>
      </c>
      <c r="AF8" s="36">
        <f t="shared" si="19"/>
        <v>3.895E-3</v>
      </c>
      <c r="AG8" s="36">
        <f t="shared" si="20"/>
        <v>0</v>
      </c>
      <c r="AH8" s="36">
        <f t="shared" si="21"/>
        <v>0.18393096377306903</v>
      </c>
      <c r="AI8" s="37">
        <f t="shared" si="22"/>
        <v>477.1293103448275</v>
      </c>
    </row>
    <row r="9" spans="1:35" x14ac:dyDescent="0.25">
      <c r="A9" s="26" t="s">
        <v>20</v>
      </c>
      <c r="B9" s="26" t="s">
        <v>68</v>
      </c>
      <c r="C9" s="26">
        <f>tax_only_price</f>
        <v>15</v>
      </c>
      <c r="D9" s="36">
        <f>tax_only_coverage</f>
        <v>1</v>
      </c>
      <c r="E9" s="36">
        <f>tax_only_exemption</f>
        <v>0</v>
      </c>
      <c r="F9" s="36">
        <f>tax_only_recycling</f>
        <v>0</v>
      </c>
      <c r="G9" s="36">
        <f>tax_only_efficiency</f>
        <v>0</v>
      </c>
      <c r="H9" s="36">
        <f>tax_only_collection</f>
        <v>0.95</v>
      </c>
      <c r="I9" s="36">
        <f>tax_only_leakage</f>
        <v>0</v>
      </c>
      <c r="J9" s="26">
        <f>scenario_bull_response_multiplier</f>
        <v>1.25</v>
      </c>
      <c r="K9" s="26">
        <f>scenario_bull_gdp_drag_multiplier</f>
        <v>0.8</v>
      </c>
      <c r="L9" s="26">
        <f>scenario_bull_efficiency_realization</f>
        <v>1.2</v>
      </c>
      <c r="M9" s="36">
        <f t="shared" si="0"/>
        <v>1</v>
      </c>
      <c r="N9" s="36">
        <f t="shared" si="1"/>
        <v>3.6250000000000004E-2</v>
      </c>
      <c r="O9" s="36">
        <f t="shared" si="2"/>
        <v>0</v>
      </c>
      <c r="P9" s="36">
        <f t="shared" si="3"/>
        <v>3.6250000000000004E-2</v>
      </c>
      <c r="Q9" s="36">
        <f t="shared" si="4"/>
        <v>3.6250000000000004E-2</v>
      </c>
      <c r="R9" s="37">
        <f t="shared" si="5"/>
        <v>33.636375000000001</v>
      </c>
      <c r="S9" s="37">
        <f t="shared" si="6"/>
        <v>894.26362499999993</v>
      </c>
      <c r="T9" s="37">
        <f t="shared" si="7"/>
        <v>894.26362499999993</v>
      </c>
      <c r="U9" s="37">
        <f t="shared" si="8"/>
        <v>13.413954374999999</v>
      </c>
      <c r="V9" s="37">
        <f t="shared" si="9"/>
        <v>12.743256656249999</v>
      </c>
      <c r="W9" s="37">
        <f t="shared" si="10"/>
        <v>0</v>
      </c>
      <c r="X9" s="37">
        <f t="shared" si="11"/>
        <v>12.743256656249999</v>
      </c>
      <c r="Y9" s="36">
        <f t="shared" si="12"/>
        <v>-6.4000000000000003E-3</v>
      </c>
      <c r="Z9" s="36">
        <f t="shared" si="13"/>
        <v>0</v>
      </c>
      <c r="AA9" s="36">
        <f t="shared" si="14"/>
        <v>0</v>
      </c>
      <c r="AB9" s="36">
        <f t="shared" si="15"/>
        <v>-6.4000000000000003E-3</v>
      </c>
      <c r="AC9" s="37">
        <f t="shared" si="16"/>
        <v>-3.0488960000000001</v>
      </c>
      <c r="AD9" s="36">
        <f t="shared" si="17"/>
        <v>-7.1999999999999998E-3</v>
      </c>
      <c r="AE9" s="36">
        <f t="shared" si="18"/>
        <v>-1.04E-2</v>
      </c>
      <c r="AF9" s="36">
        <f t="shared" si="19"/>
        <v>3.895E-3</v>
      </c>
      <c r="AG9" s="36">
        <f t="shared" si="20"/>
        <v>0</v>
      </c>
      <c r="AH9" s="36">
        <f t="shared" si="21"/>
        <v>0.22991370471633629</v>
      </c>
      <c r="AI9" s="37">
        <f t="shared" si="22"/>
        <v>378.85344827586204</v>
      </c>
    </row>
    <row r="10" spans="1:35" x14ac:dyDescent="0.25">
      <c r="A10" s="26" t="s">
        <v>20</v>
      </c>
      <c r="B10" s="26" t="s">
        <v>70</v>
      </c>
      <c r="C10" s="26">
        <f>tax_only_price</f>
        <v>15</v>
      </c>
      <c r="D10" s="36">
        <f>tax_only_coverage</f>
        <v>1</v>
      </c>
      <c r="E10" s="36">
        <f>tax_only_exemption</f>
        <v>0</v>
      </c>
      <c r="F10" s="36">
        <f>tax_only_recycling</f>
        <v>0</v>
      </c>
      <c r="G10" s="36">
        <f>tax_only_efficiency</f>
        <v>0</v>
      </c>
      <c r="H10" s="36">
        <f>tax_only_collection</f>
        <v>0.95</v>
      </c>
      <c r="I10" s="36">
        <f>tax_only_leakage</f>
        <v>0</v>
      </c>
      <c r="J10" s="26">
        <f>scenario_bear_response_multiplier</f>
        <v>0.75</v>
      </c>
      <c r="K10" s="26">
        <f>scenario_bear_gdp_drag_multiplier</f>
        <v>1.25</v>
      </c>
      <c r="L10" s="26">
        <f>scenario_bear_efficiency_realization</f>
        <v>0.7</v>
      </c>
      <c r="M10" s="36">
        <f t="shared" si="0"/>
        <v>1</v>
      </c>
      <c r="N10" s="36">
        <f t="shared" si="1"/>
        <v>2.1750000000000002E-2</v>
      </c>
      <c r="O10" s="36">
        <f t="shared" si="2"/>
        <v>0</v>
      </c>
      <c r="P10" s="36">
        <f t="shared" si="3"/>
        <v>2.1750000000000002E-2</v>
      </c>
      <c r="Q10" s="36">
        <f t="shared" si="4"/>
        <v>2.1750000000000002E-2</v>
      </c>
      <c r="R10" s="37">
        <f t="shared" si="5"/>
        <v>20.181825</v>
      </c>
      <c r="S10" s="37">
        <f t="shared" si="6"/>
        <v>907.71817499999997</v>
      </c>
      <c r="T10" s="37">
        <f t="shared" si="7"/>
        <v>907.71817499999997</v>
      </c>
      <c r="U10" s="37">
        <f t="shared" si="8"/>
        <v>13.615772625</v>
      </c>
      <c r="V10" s="37">
        <f t="shared" si="9"/>
        <v>12.934983993749999</v>
      </c>
      <c r="W10" s="37">
        <f t="shared" si="10"/>
        <v>0</v>
      </c>
      <c r="X10" s="37">
        <f t="shared" si="11"/>
        <v>12.934983993749999</v>
      </c>
      <c r="Y10" s="36">
        <f t="shared" si="12"/>
        <v>-0.01</v>
      </c>
      <c r="Z10" s="36">
        <f t="shared" si="13"/>
        <v>0</v>
      </c>
      <c r="AA10" s="36">
        <f t="shared" si="14"/>
        <v>0</v>
      </c>
      <c r="AB10" s="36">
        <f t="shared" si="15"/>
        <v>-0.01</v>
      </c>
      <c r="AC10" s="37">
        <f t="shared" si="16"/>
        <v>-4.7638999999999996</v>
      </c>
      <c r="AD10" s="36">
        <f t="shared" si="17"/>
        <v>-1.125E-2</v>
      </c>
      <c r="AE10" s="36">
        <f t="shared" si="18"/>
        <v>-1.6250000000000001E-2</v>
      </c>
      <c r="AF10" s="36">
        <f t="shared" si="19"/>
        <v>3.895E-3</v>
      </c>
      <c r="AG10" s="36">
        <f t="shared" si="20"/>
        <v>0</v>
      </c>
      <c r="AH10" s="36">
        <f t="shared" si="21"/>
        <v>0.13794822282980176</v>
      </c>
      <c r="AI10" s="37">
        <f t="shared" si="22"/>
        <v>640.92241379310337</v>
      </c>
    </row>
    <row r="11" spans="1:35" x14ac:dyDescent="0.25">
      <c r="A11" s="26" t="s">
        <v>21</v>
      </c>
      <c r="B11" s="26" t="s">
        <v>66</v>
      </c>
      <c r="C11" s="26">
        <f>just_transition_price</f>
        <v>15</v>
      </c>
      <c r="D11" s="36">
        <f>just_transition_coverage</f>
        <v>1</v>
      </c>
      <c r="E11" s="36">
        <f>just_transition_exemption</f>
        <v>0</v>
      </c>
      <c r="F11" s="36">
        <f>just_transition_recycling</f>
        <v>0.3</v>
      </c>
      <c r="G11" s="36">
        <f>just_transition_efficiency</f>
        <v>0.05</v>
      </c>
      <c r="H11" s="36">
        <f>just_transition_collection</f>
        <v>0.95</v>
      </c>
      <c r="I11" s="36">
        <f>just_transition_leakage</f>
        <v>0.05</v>
      </c>
      <c r="J11" s="26">
        <f>scenario_base_response_multiplier</f>
        <v>1</v>
      </c>
      <c r="K11" s="26">
        <f>scenario_base_gdp_drag_multiplier</f>
        <v>1</v>
      </c>
      <c r="L11" s="26">
        <f>scenario_base_efficiency_realization</f>
        <v>1</v>
      </c>
      <c r="M11" s="36">
        <f t="shared" si="0"/>
        <v>1</v>
      </c>
      <c r="N11" s="36">
        <f t="shared" si="1"/>
        <v>2.9000000000000001E-2</v>
      </c>
      <c r="O11" s="36">
        <f t="shared" si="2"/>
        <v>0.03</v>
      </c>
      <c r="P11" s="36">
        <f t="shared" si="3"/>
        <v>5.8999999999999997E-2</v>
      </c>
      <c r="Q11" s="36">
        <f t="shared" si="4"/>
        <v>5.6049999999999996E-2</v>
      </c>
      <c r="R11" s="37">
        <f t="shared" si="5"/>
        <v>52.008794999999992</v>
      </c>
      <c r="S11" s="37">
        <f t="shared" si="6"/>
        <v>875.89120500000001</v>
      </c>
      <c r="T11" s="37">
        <f t="shared" si="7"/>
        <v>873.15390000000002</v>
      </c>
      <c r="U11" s="37">
        <f t="shared" si="8"/>
        <v>13.0973085</v>
      </c>
      <c r="V11" s="37">
        <f t="shared" si="9"/>
        <v>12.442443075</v>
      </c>
      <c r="W11" s="37">
        <f t="shared" si="10"/>
        <v>3.7327329224999999</v>
      </c>
      <c r="X11" s="37">
        <f t="shared" si="11"/>
        <v>8.7097101524999996</v>
      </c>
      <c r="Y11" s="36">
        <f t="shared" si="12"/>
        <v>-8.0000000000000002E-3</v>
      </c>
      <c r="Z11" s="36">
        <f t="shared" si="13"/>
        <v>5.0000000000000001E-3</v>
      </c>
      <c r="AA11" s="36">
        <f t="shared" si="14"/>
        <v>2E-3</v>
      </c>
      <c r="AB11" s="36">
        <f t="shared" si="15"/>
        <v>-1E-3</v>
      </c>
      <c r="AC11" s="37">
        <f t="shared" si="16"/>
        <v>-0.47638999999999998</v>
      </c>
      <c r="AD11" s="36">
        <f t="shared" si="17"/>
        <v>-8.9999999999999993E-3</v>
      </c>
      <c r="AE11" s="36">
        <f t="shared" si="18"/>
        <v>-1.2999999999999999E-2</v>
      </c>
      <c r="AF11" s="36">
        <f t="shared" si="19"/>
        <v>3.895E-3</v>
      </c>
      <c r="AG11" s="36">
        <f t="shared" si="20"/>
        <v>0.5</v>
      </c>
      <c r="AH11" s="36">
        <f t="shared" si="21"/>
        <v>0.35549415584415578</v>
      </c>
      <c r="AI11" s="37">
        <f t="shared" si="22"/>
        <v>239.23728813559325</v>
      </c>
    </row>
    <row r="12" spans="1:35" x14ac:dyDescent="0.25">
      <c r="A12" s="26" t="s">
        <v>21</v>
      </c>
      <c r="B12" s="26" t="s">
        <v>68</v>
      </c>
      <c r="C12" s="26">
        <f>just_transition_price</f>
        <v>15</v>
      </c>
      <c r="D12" s="36">
        <f>just_transition_coverage</f>
        <v>1</v>
      </c>
      <c r="E12" s="36">
        <f>just_transition_exemption</f>
        <v>0</v>
      </c>
      <c r="F12" s="36">
        <f>just_transition_recycling</f>
        <v>0.3</v>
      </c>
      <c r="G12" s="36">
        <f>just_transition_efficiency</f>
        <v>0.05</v>
      </c>
      <c r="H12" s="36">
        <f>just_transition_collection</f>
        <v>0.95</v>
      </c>
      <c r="I12" s="36">
        <f>just_transition_leakage</f>
        <v>0.05</v>
      </c>
      <c r="J12" s="26">
        <f>scenario_bull_response_multiplier</f>
        <v>1.25</v>
      </c>
      <c r="K12" s="26">
        <f>scenario_bull_gdp_drag_multiplier</f>
        <v>0.8</v>
      </c>
      <c r="L12" s="26">
        <f>scenario_bull_efficiency_realization</f>
        <v>1.2</v>
      </c>
      <c r="M12" s="36">
        <f t="shared" si="0"/>
        <v>1</v>
      </c>
      <c r="N12" s="36">
        <f t="shared" si="1"/>
        <v>3.6250000000000004E-2</v>
      </c>
      <c r="O12" s="36">
        <f t="shared" si="2"/>
        <v>3.5999999999999997E-2</v>
      </c>
      <c r="P12" s="36">
        <f t="shared" si="3"/>
        <v>7.2250000000000009E-2</v>
      </c>
      <c r="Q12" s="36">
        <f t="shared" si="4"/>
        <v>6.8637500000000004E-2</v>
      </c>
      <c r="R12" s="37">
        <f t="shared" si="5"/>
        <v>63.688736250000005</v>
      </c>
      <c r="S12" s="37">
        <f t="shared" si="6"/>
        <v>864.21126374999994</v>
      </c>
      <c r="T12" s="37">
        <f t="shared" si="7"/>
        <v>860.85922499999992</v>
      </c>
      <c r="U12" s="37">
        <f t="shared" si="8"/>
        <v>12.912888374999998</v>
      </c>
      <c r="V12" s="37">
        <f t="shared" si="9"/>
        <v>12.267243956249997</v>
      </c>
      <c r="W12" s="37">
        <f t="shared" si="10"/>
        <v>3.6801731868749989</v>
      </c>
      <c r="X12" s="37">
        <f t="shared" si="11"/>
        <v>8.5870707693749981</v>
      </c>
      <c r="Y12" s="36">
        <f t="shared" si="12"/>
        <v>-6.4000000000000003E-3</v>
      </c>
      <c r="Z12" s="36">
        <f t="shared" si="13"/>
        <v>6.0000000000000001E-3</v>
      </c>
      <c r="AA12" s="36">
        <f t="shared" si="14"/>
        <v>1.6000000000000001E-3</v>
      </c>
      <c r="AB12" s="36">
        <f t="shared" si="15"/>
        <v>1.1999999999999999E-3</v>
      </c>
      <c r="AC12" s="37">
        <f t="shared" si="16"/>
        <v>0.57166799999999995</v>
      </c>
      <c r="AD12" s="36">
        <f t="shared" si="17"/>
        <v>-7.1999999999999998E-3</v>
      </c>
      <c r="AE12" s="36">
        <f t="shared" si="18"/>
        <v>-1.04E-2</v>
      </c>
      <c r="AF12" s="36">
        <f t="shared" si="19"/>
        <v>3.895E-3</v>
      </c>
      <c r="AG12" s="36">
        <f t="shared" si="20"/>
        <v>0.5</v>
      </c>
      <c r="AH12" s="36">
        <f t="shared" si="21"/>
        <v>0.43532970779220781</v>
      </c>
      <c r="AI12" s="37">
        <f t="shared" si="22"/>
        <v>192.61245674740476</v>
      </c>
    </row>
    <row r="13" spans="1:35" x14ac:dyDescent="0.25">
      <c r="A13" s="26" t="s">
        <v>21</v>
      </c>
      <c r="B13" s="26" t="s">
        <v>70</v>
      </c>
      <c r="C13" s="26">
        <f>just_transition_price</f>
        <v>15</v>
      </c>
      <c r="D13" s="36">
        <f>just_transition_coverage</f>
        <v>1</v>
      </c>
      <c r="E13" s="36">
        <f>just_transition_exemption</f>
        <v>0</v>
      </c>
      <c r="F13" s="36">
        <f>just_transition_recycling</f>
        <v>0.3</v>
      </c>
      <c r="G13" s="36">
        <f>just_transition_efficiency</f>
        <v>0.05</v>
      </c>
      <c r="H13" s="36">
        <f>just_transition_collection</f>
        <v>0.95</v>
      </c>
      <c r="I13" s="36">
        <f>just_transition_leakage</f>
        <v>0.05</v>
      </c>
      <c r="J13" s="26">
        <f>scenario_bear_response_multiplier</f>
        <v>0.75</v>
      </c>
      <c r="K13" s="26">
        <f>scenario_bear_gdp_drag_multiplier</f>
        <v>1.25</v>
      </c>
      <c r="L13" s="26">
        <f>scenario_bear_efficiency_realization</f>
        <v>0.7</v>
      </c>
      <c r="M13" s="36">
        <f t="shared" si="0"/>
        <v>1</v>
      </c>
      <c r="N13" s="36">
        <f t="shared" si="1"/>
        <v>2.1750000000000002E-2</v>
      </c>
      <c r="O13" s="36">
        <f t="shared" si="2"/>
        <v>2.0999999999999998E-2</v>
      </c>
      <c r="P13" s="36">
        <f t="shared" si="3"/>
        <v>4.2749999999999996E-2</v>
      </c>
      <c r="Q13" s="36">
        <f t="shared" si="4"/>
        <v>4.0612499999999996E-2</v>
      </c>
      <c r="R13" s="37">
        <f t="shared" si="5"/>
        <v>37.684338749999995</v>
      </c>
      <c r="S13" s="37">
        <f t="shared" si="6"/>
        <v>890.21566125000004</v>
      </c>
      <c r="T13" s="37">
        <f t="shared" si="7"/>
        <v>888.23227500000007</v>
      </c>
      <c r="U13" s="37">
        <f t="shared" si="8"/>
        <v>13.323484125</v>
      </c>
      <c r="V13" s="37">
        <f t="shared" si="9"/>
        <v>12.65730991875</v>
      </c>
      <c r="W13" s="37">
        <f t="shared" si="10"/>
        <v>3.7971929756249998</v>
      </c>
      <c r="X13" s="37">
        <f t="shared" si="11"/>
        <v>8.860116943125</v>
      </c>
      <c r="Y13" s="36">
        <f t="shared" si="12"/>
        <v>-0.01</v>
      </c>
      <c r="Z13" s="36">
        <f t="shared" si="13"/>
        <v>3.4999999999999996E-3</v>
      </c>
      <c r="AA13" s="36">
        <f t="shared" si="14"/>
        <v>2.5000000000000001E-3</v>
      </c>
      <c r="AB13" s="36">
        <f t="shared" si="15"/>
        <v>-4.0000000000000001E-3</v>
      </c>
      <c r="AC13" s="37">
        <f t="shared" si="16"/>
        <v>-1.9055599999999999</v>
      </c>
      <c r="AD13" s="36">
        <f t="shared" si="17"/>
        <v>-1.125E-2</v>
      </c>
      <c r="AE13" s="36">
        <f t="shared" si="18"/>
        <v>-1.6250000000000001E-2</v>
      </c>
      <c r="AF13" s="36">
        <f t="shared" si="19"/>
        <v>3.895E-3</v>
      </c>
      <c r="AG13" s="36">
        <f t="shared" si="20"/>
        <v>0.5</v>
      </c>
      <c r="AH13" s="36">
        <f t="shared" si="21"/>
        <v>0.25758262987012981</v>
      </c>
      <c r="AI13" s="37">
        <f t="shared" si="22"/>
        <v>335.87719298245622</v>
      </c>
    </row>
    <row r="14" spans="1:35" x14ac:dyDescent="0.25">
      <c r="A14" s="26" t="s">
        <v>59</v>
      </c>
      <c r="B14" s="26" t="s">
        <v>66</v>
      </c>
      <c r="C14" s="26">
        <f>protected_industry_price</f>
        <v>15</v>
      </c>
      <c r="D14" s="36">
        <f>protected_industry_coverage</f>
        <v>0.7</v>
      </c>
      <c r="E14" s="36">
        <f>protected_industry_exemption</f>
        <v>0.2</v>
      </c>
      <c r="F14" s="36">
        <f>protected_industry_recycling</f>
        <v>0.3</v>
      </c>
      <c r="G14" s="36">
        <f>protected_industry_efficiency</f>
        <v>0.05</v>
      </c>
      <c r="H14" s="36">
        <f>protected_industry_collection</f>
        <v>0.9</v>
      </c>
      <c r="I14" s="36">
        <f>protected_industry_leakage</f>
        <v>0.2</v>
      </c>
      <c r="J14" s="26">
        <f>scenario_base_response_multiplier</f>
        <v>1</v>
      </c>
      <c r="K14" s="26">
        <f>scenario_base_gdp_drag_multiplier</f>
        <v>1</v>
      </c>
      <c r="L14" s="26">
        <f>scenario_base_efficiency_realization</f>
        <v>1</v>
      </c>
      <c r="M14" s="36">
        <f t="shared" si="0"/>
        <v>0.55999999999999994</v>
      </c>
      <c r="N14" s="36">
        <f t="shared" si="1"/>
        <v>1.6239999999999997E-2</v>
      </c>
      <c r="O14" s="36">
        <f t="shared" si="2"/>
        <v>0.03</v>
      </c>
      <c r="P14" s="36">
        <f t="shared" si="3"/>
        <v>4.6239999999999996E-2</v>
      </c>
      <c r="Q14" s="36">
        <f t="shared" si="4"/>
        <v>3.6991999999999997E-2</v>
      </c>
      <c r="R14" s="37">
        <f t="shared" si="5"/>
        <v>34.324876799999998</v>
      </c>
      <c r="S14" s="37">
        <f t="shared" si="6"/>
        <v>893.57512320000001</v>
      </c>
      <c r="T14" s="37">
        <f t="shared" si="7"/>
        <v>495.59658623999997</v>
      </c>
      <c r="U14" s="37">
        <f t="shared" si="8"/>
        <v>7.4339487935999999</v>
      </c>
      <c r="V14" s="37">
        <f t="shared" si="9"/>
        <v>6.6905539142399997</v>
      </c>
      <c r="W14" s="37">
        <f t="shared" si="10"/>
        <v>2.0071661742719997</v>
      </c>
      <c r="X14" s="37">
        <f t="shared" si="11"/>
        <v>4.6833877399679995</v>
      </c>
      <c r="Y14" s="36">
        <f t="shared" si="12"/>
        <v>-4.4799999999999996E-3</v>
      </c>
      <c r="Z14" s="36">
        <f t="shared" si="13"/>
        <v>5.0000000000000001E-3</v>
      </c>
      <c r="AA14" s="36">
        <f t="shared" si="14"/>
        <v>1.1199999999999999E-3</v>
      </c>
      <c r="AB14" s="36">
        <f t="shared" si="15"/>
        <v>1.6400000000000004E-3</v>
      </c>
      <c r="AC14" s="37">
        <f t="shared" si="16"/>
        <v>0.78127960000000019</v>
      </c>
      <c r="AD14" s="36">
        <f t="shared" si="17"/>
        <v>-5.0399999999999993E-3</v>
      </c>
      <c r="AE14" s="36">
        <f t="shared" si="18"/>
        <v>-7.2799999999999991E-3</v>
      </c>
      <c r="AF14" s="36">
        <f t="shared" si="19"/>
        <v>2.0663999999999999E-3</v>
      </c>
      <c r="AG14" s="36">
        <f t="shared" si="20"/>
        <v>0.5</v>
      </c>
      <c r="AH14" s="36">
        <f t="shared" si="21"/>
        <v>0.23461980041011618</v>
      </c>
      <c r="AI14" s="37">
        <f t="shared" si="22"/>
        <v>194.91851211072662</v>
      </c>
    </row>
    <row r="15" spans="1:35" x14ac:dyDescent="0.25">
      <c r="A15" s="26" t="s">
        <v>59</v>
      </c>
      <c r="B15" s="26" t="s">
        <v>68</v>
      </c>
      <c r="C15" s="26">
        <f>protected_industry_price</f>
        <v>15</v>
      </c>
      <c r="D15" s="36">
        <f>protected_industry_coverage</f>
        <v>0.7</v>
      </c>
      <c r="E15" s="36">
        <f>protected_industry_exemption</f>
        <v>0.2</v>
      </c>
      <c r="F15" s="36">
        <f>protected_industry_recycling</f>
        <v>0.3</v>
      </c>
      <c r="G15" s="36">
        <f>protected_industry_efficiency</f>
        <v>0.05</v>
      </c>
      <c r="H15" s="36">
        <f>protected_industry_collection</f>
        <v>0.9</v>
      </c>
      <c r="I15" s="36">
        <f>protected_industry_leakage</f>
        <v>0.2</v>
      </c>
      <c r="J15" s="26">
        <f>scenario_bull_response_multiplier</f>
        <v>1.25</v>
      </c>
      <c r="K15" s="26">
        <f>scenario_bull_gdp_drag_multiplier</f>
        <v>0.8</v>
      </c>
      <c r="L15" s="26">
        <f>scenario_bull_efficiency_realization</f>
        <v>1.2</v>
      </c>
      <c r="M15" s="36">
        <f t="shared" si="0"/>
        <v>0.55999999999999994</v>
      </c>
      <c r="N15" s="36">
        <f t="shared" si="1"/>
        <v>2.0299999999999999E-2</v>
      </c>
      <c r="O15" s="36">
        <f t="shared" si="2"/>
        <v>3.5999999999999997E-2</v>
      </c>
      <c r="P15" s="36">
        <f t="shared" si="3"/>
        <v>5.6299999999999996E-2</v>
      </c>
      <c r="Q15" s="36">
        <f t="shared" si="4"/>
        <v>4.5039999999999997E-2</v>
      </c>
      <c r="R15" s="37">
        <f t="shared" si="5"/>
        <v>41.792615999999995</v>
      </c>
      <c r="S15" s="37">
        <f t="shared" si="6"/>
        <v>886.10738400000002</v>
      </c>
      <c r="T15" s="37">
        <f t="shared" si="7"/>
        <v>490.3691687999999</v>
      </c>
      <c r="U15" s="37">
        <f t="shared" si="8"/>
        <v>7.3555375319999987</v>
      </c>
      <c r="V15" s="37">
        <f t="shared" si="9"/>
        <v>6.6199837787999991</v>
      </c>
      <c r="W15" s="37">
        <f t="shared" si="10"/>
        <v>1.9859951336399997</v>
      </c>
      <c r="X15" s="37">
        <f t="shared" si="11"/>
        <v>4.6339886451599996</v>
      </c>
      <c r="Y15" s="36">
        <f t="shared" si="12"/>
        <v>-3.5839999999999999E-3</v>
      </c>
      <c r="Z15" s="36">
        <f t="shared" si="13"/>
        <v>6.0000000000000001E-3</v>
      </c>
      <c r="AA15" s="36">
        <f t="shared" si="14"/>
        <v>8.9599999999999999E-4</v>
      </c>
      <c r="AB15" s="36">
        <f t="shared" si="15"/>
        <v>3.3120000000000003E-3</v>
      </c>
      <c r="AC15" s="37">
        <f t="shared" si="16"/>
        <v>1.5778036800000002</v>
      </c>
      <c r="AD15" s="36">
        <f t="shared" si="17"/>
        <v>-4.032E-3</v>
      </c>
      <c r="AE15" s="36">
        <f t="shared" si="18"/>
        <v>-5.8239999999999993E-3</v>
      </c>
      <c r="AF15" s="36">
        <f t="shared" si="19"/>
        <v>2.0663999999999999E-3</v>
      </c>
      <c r="AG15" s="36">
        <f t="shared" si="20"/>
        <v>0.5</v>
      </c>
      <c r="AH15" s="36">
        <f t="shared" si="21"/>
        <v>0.28566381408065611</v>
      </c>
      <c r="AI15" s="37">
        <f t="shared" si="22"/>
        <v>158.40079928952042</v>
      </c>
    </row>
    <row r="16" spans="1:35" x14ac:dyDescent="0.25">
      <c r="A16" s="26" t="s">
        <v>59</v>
      </c>
      <c r="B16" s="26" t="s">
        <v>70</v>
      </c>
      <c r="C16" s="26">
        <f>protected_industry_price</f>
        <v>15</v>
      </c>
      <c r="D16" s="36">
        <f>protected_industry_coverage</f>
        <v>0.7</v>
      </c>
      <c r="E16" s="36">
        <f>protected_industry_exemption</f>
        <v>0.2</v>
      </c>
      <c r="F16" s="36">
        <f>protected_industry_recycling</f>
        <v>0.3</v>
      </c>
      <c r="G16" s="36">
        <f>protected_industry_efficiency</f>
        <v>0.05</v>
      </c>
      <c r="H16" s="36">
        <f>protected_industry_collection</f>
        <v>0.9</v>
      </c>
      <c r="I16" s="36">
        <f>protected_industry_leakage</f>
        <v>0.2</v>
      </c>
      <c r="J16" s="26">
        <f>scenario_bear_response_multiplier</f>
        <v>0.75</v>
      </c>
      <c r="K16" s="26">
        <f>scenario_bear_gdp_drag_multiplier</f>
        <v>1.25</v>
      </c>
      <c r="L16" s="26">
        <f>scenario_bear_efficiency_realization</f>
        <v>0.7</v>
      </c>
      <c r="M16" s="36">
        <f t="shared" si="0"/>
        <v>0.55999999999999994</v>
      </c>
      <c r="N16" s="36">
        <f t="shared" si="1"/>
        <v>1.2179999999999998E-2</v>
      </c>
      <c r="O16" s="36">
        <f t="shared" si="2"/>
        <v>2.0999999999999998E-2</v>
      </c>
      <c r="P16" s="36">
        <f t="shared" si="3"/>
        <v>3.3179999999999994E-2</v>
      </c>
      <c r="Q16" s="36">
        <f t="shared" si="4"/>
        <v>2.6543999999999998E-2</v>
      </c>
      <c r="R16" s="37">
        <f t="shared" si="5"/>
        <v>24.630177599999996</v>
      </c>
      <c r="S16" s="37">
        <f t="shared" si="6"/>
        <v>903.26982239999995</v>
      </c>
      <c r="T16" s="37">
        <f t="shared" si="7"/>
        <v>502.38287567999993</v>
      </c>
      <c r="U16" s="37">
        <f t="shared" si="8"/>
        <v>7.5357431351999988</v>
      </c>
      <c r="V16" s="37">
        <f t="shared" si="9"/>
        <v>6.7821688216799991</v>
      </c>
      <c r="W16" s="37">
        <f t="shared" si="10"/>
        <v>2.0346506465039997</v>
      </c>
      <c r="X16" s="37">
        <f t="shared" si="11"/>
        <v>4.7475181751759994</v>
      </c>
      <c r="Y16" s="36">
        <f t="shared" si="12"/>
        <v>-5.5999999999999991E-3</v>
      </c>
      <c r="Z16" s="36">
        <f t="shared" si="13"/>
        <v>3.4999999999999996E-3</v>
      </c>
      <c r="AA16" s="36">
        <f t="shared" si="14"/>
        <v>1.3999999999999998E-3</v>
      </c>
      <c r="AB16" s="36">
        <f t="shared" si="15"/>
        <v>-6.9999999999999967E-4</v>
      </c>
      <c r="AC16" s="37">
        <f t="shared" si="16"/>
        <v>-0.33347299999999985</v>
      </c>
      <c r="AD16" s="36">
        <f t="shared" si="17"/>
        <v>-6.2999999999999992E-3</v>
      </c>
      <c r="AE16" s="36">
        <f t="shared" si="18"/>
        <v>-9.0999999999999987E-3</v>
      </c>
      <c r="AF16" s="36">
        <f t="shared" si="19"/>
        <v>2.0663999999999999E-3</v>
      </c>
      <c r="AG16" s="36">
        <f t="shared" si="20"/>
        <v>0.5</v>
      </c>
      <c r="AH16" s="36">
        <f t="shared" si="21"/>
        <v>0.16835391387559806</v>
      </c>
      <c r="AI16" s="37">
        <f t="shared" si="22"/>
        <v>275.3601265822785</v>
      </c>
    </row>
    <row r="17" spans="1:35" x14ac:dyDescent="0.25">
      <c r="A17" s="26" t="s">
        <v>23</v>
      </c>
      <c r="B17" s="26" t="s">
        <v>66</v>
      </c>
      <c r="C17" s="26">
        <f>accelerated_price</f>
        <v>30</v>
      </c>
      <c r="D17" s="36">
        <f>accelerated_coverage</f>
        <v>1</v>
      </c>
      <c r="E17" s="36">
        <f>accelerated_exemption</f>
        <v>0</v>
      </c>
      <c r="F17" s="36">
        <f>accelerated_recycling</f>
        <v>0.4</v>
      </c>
      <c r="G17" s="36">
        <f>accelerated_efficiency</f>
        <v>0.1</v>
      </c>
      <c r="H17" s="36">
        <f>accelerated_collection</f>
        <v>0.95</v>
      </c>
      <c r="I17" s="36">
        <f>accelerated_leakage</f>
        <v>0.05</v>
      </c>
      <c r="J17" s="26">
        <f>scenario_base_response_multiplier</f>
        <v>1</v>
      </c>
      <c r="K17" s="26">
        <f>scenario_base_gdp_drag_multiplier</f>
        <v>1</v>
      </c>
      <c r="L17" s="26">
        <f>scenario_base_efficiency_realization</f>
        <v>1</v>
      </c>
      <c r="M17" s="36">
        <f t="shared" si="0"/>
        <v>1</v>
      </c>
      <c r="N17" s="36">
        <f t="shared" si="1"/>
        <v>5.2272526831428155E-2</v>
      </c>
      <c r="O17" s="36">
        <f t="shared" si="2"/>
        <v>0.06</v>
      </c>
      <c r="P17" s="36">
        <f t="shared" si="3"/>
        <v>0.11227252683142816</v>
      </c>
      <c r="Q17" s="36">
        <f t="shared" si="4"/>
        <v>0.10665890048985675</v>
      </c>
      <c r="R17" s="37">
        <f t="shared" si="5"/>
        <v>98.968793764538077</v>
      </c>
      <c r="S17" s="37">
        <f t="shared" si="6"/>
        <v>828.9312062354619</v>
      </c>
      <c r="T17" s="37">
        <f t="shared" si="7"/>
        <v>823.72232235311776</v>
      </c>
      <c r="U17" s="37">
        <f t="shared" si="8"/>
        <v>24.711669670593533</v>
      </c>
      <c r="V17" s="37">
        <f t="shared" si="9"/>
        <v>23.476086187063856</v>
      </c>
      <c r="W17" s="37">
        <f t="shared" si="10"/>
        <v>9.3904344748255433</v>
      </c>
      <c r="X17" s="37">
        <f t="shared" si="11"/>
        <v>14.085651712238313</v>
      </c>
      <c r="Y17" s="36">
        <f t="shared" si="12"/>
        <v>-1.4420007401773283E-2</v>
      </c>
      <c r="Z17" s="36">
        <f t="shared" si="13"/>
        <v>0.01</v>
      </c>
      <c r="AA17" s="36">
        <f t="shared" si="14"/>
        <v>3.6050018504433208E-3</v>
      </c>
      <c r="AB17" s="36">
        <f t="shared" si="15"/>
        <v>-8.1500555132996231E-4</v>
      </c>
      <c r="AC17" s="37">
        <f t="shared" si="16"/>
        <v>-0.38826049459808071</v>
      </c>
      <c r="AD17" s="36">
        <f t="shared" si="17"/>
        <v>-1.6222508326994942E-2</v>
      </c>
      <c r="AE17" s="36">
        <f t="shared" si="18"/>
        <v>-2.3432512027881585E-2</v>
      </c>
      <c r="AF17" s="36">
        <f t="shared" si="19"/>
        <v>7.0207411037383682E-3</v>
      </c>
      <c r="AG17" s="36">
        <f t="shared" si="20"/>
        <v>0.5</v>
      </c>
      <c r="AH17" s="36">
        <f t="shared" si="21"/>
        <v>0.67647842627845567</v>
      </c>
      <c r="AI17" s="37">
        <f t="shared" si="22"/>
        <v>237.20695477927174</v>
      </c>
    </row>
    <row r="18" spans="1:35" x14ac:dyDescent="0.25">
      <c r="A18" s="26" t="s">
        <v>23</v>
      </c>
      <c r="B18" s="26" t="s">
        <v>68</v>
      </c>
      <c r="C18" s="26">
        <f>accelerated_price</f>
        <v>30</v>
      </c>
      <c r="D18" s="36">
        <f>accelerated_coverage</f>
        <v>1</v>
      </c>
      <c r="E18" s="36">
        <f>accelerated_exemption</f>
        <v>0</v>
      </c>
      <c r="F18" s="36">
        <f>accelerated_recycling</f>
        <v>0.4</v>
      </c>
      <c r="G18" s="36">
        <f>accelerated_efficiency</f>
        <v>0.1</v>
      </c>
      <c r="H18" s="36">
        <f>accelerated_collection</f>
        <v>0.95</v>
      </c>
      <c r="I18" s="36">
        <f>accelerated_leakage</f>
        <v>0.05</v>
      </c>
      <c r="J18" s="26">
        <f>scenario_bull_response_multiplier</f>
        <v>1.25</v>
      </c>
      <c r="K18" s="26">
        <f>scenario_bull_gdp_drag_multiplier</f>
        <v>0.8</v>
      </c>
      <c r="L18" s="26">
        <f>scenario_bull_efficiency_realization</f>
        <v>1.2</v>
      </c>
      <c r="M18" s="36">
        <f t="shared" si="0"/>
        <v>1</v>
      </c>
      <c r="N18" s="36">
        <f t="shared" si="1"/>
        <v>6.5340658539285196E-2</v>
      </c>
      <c r="O18" s="36">
        <f t="shared" si="2"/>
        <v>7.1999999999999995E-2</v>
      </c>
      <c r="P18" s="36">
        <f t="shared" si="3"/>
        <v>0.13734065853928518</v>
      </c>
      <c r="Q18" s="36">
        <f t="shared" si="4"/>
        <v>0.1304736256123209</v>
      </c>
      <c r="R18" s="37">
        <f t="shared" si="5"/>
        <v>121.06647720567256</v>
      </c>
      <c r="S18" s="37">
        <f t="shared" si="6"/>
        <v>806.83352279432745</v>
      </c>
      <c r="T18" s="37">
        <f t="shared" si="7"/>
        <v>800.46160294139736</v>
      </c>
      <c r="U18" s="37">
        <f t="shared" si="8"/>
        <v>24.013848088241922</v>
      </c>
      <c r="V18" s="37">
        <f t="shared" si="9"/>
        <v>22.813155683829823</v>
      </c>
      <c r="W18" s="37">
        <f t="shared" si="10"/>
        <v>9.1252622735319289</v>
      </c>
      <c r="X18" s="37">
        <f t="shared" si="11"/>
        <v>13.687893410297894</v>
      </c>
      <c r="Y18" s="36">
        <f t="shared" si="12"/>
        <v>-1.1536005921418627E-2</v>
      </c>
      <c r="Z18" s="36">
        <f t="shared" si="13"/>
        <v>1.2E-2</v>
      </c>
      <c r="AA18" s="36">
        <f t="shared" si="14"/>
        <v>2.8840014803546568E-3</v>
      </c>
      <c r="AB18" s="36">
        <f t="shared" si="15"/>
        <v>3.3479955589360297E-3</v>
      </c>
      <c r="AC18" s="37">
        <f t="shared" si="16"/>
        <v>1.594951604321535</v>
      </c>
      <c r="AD18" s="36">
        <f t="shared" si="17"/>
        <v>-1.2978006661595954E-2</v>
      </c>
      <c r="AE18" s="36">
        <f t="shared" si="18"/>
        <v>-1.8746009622305271E-2</v>
      </c>
      <c r="AF18" s="36">
        <f t="shared" si="19"/>
        <v>7.0207411037383682E-3</v>
      </c>
      <c r="AG18" s="36">
        <f t="shared" si="20"/>
        <v>0.5</v>
      </c>
      <c r="AH18" s="36">
        <f t="shared" si="21"/>
        <v>0.82752205882209529</v>
      </c>
      <c r="AI18" s="37">
        <f t="shared" si="22"/>
        <v>188.43495086648903</v>
      </c>
    </row>
    <row r="19" spans="1:35" x14ac:dyDescent="0.25">
      <c r="A19" s="26" t="s">
        <v>23</v>
      </c>
      <c r="B19" s="26" t="s">
        <v>70</v>
      </c>
      <c r="C19" s="26">
        <f>accelerated_price</f>
        <v>30</v>
      </c>
      <c r="D19" s="36">
        <f>accelerated_coverage</f>
        <v>1</v>
      </c>
      <c r="E19" s="36">
        <f>accelerated_exemption</f>
        <v>0</v>
      </c>
      <c r="F19" s="36">
        <f>accelerated_recycling</f>
        <v>0.4</v>
      </c>
      <c r="G19" s="36">
        <f>accelerated_efficiency</f>
        <v>0.1</v>
      </c>
      <c r="H19" s="36">
        <f>accelerated_collection</f>
        <v>0.95</v>
      </c>
      <c r="I19" s="36">
        <f>accelerated_leakage</f>
        <v>0.05</v>
      </c>
      <c r="J19" s="26">
        <f>scenario_bear_response_multiplier</f>
        <v>0.75</v>
      </c>
      <c r="K19" s="26">
        <f>scenario_bear_gdp_drag_multiplier</f>
        <v>1.25</v>
      </c>
      <c r="L19" s="26">
        <f>scenario_bear_efficiency_realization</f>
        <v>0.7</v>
      </c>
      <c r="M19" s="36">
        <f t="shared" si="0"/>
        <v>1</v>
      </c>
      <c r="N19" s="36">
        <f t="shared" si="1"/>
        <v>3.9204395123571115E-2</v>
      </c>
      <c r="O19" s="36">
        <f t="shared" si="2"/>
        <v>4.1999999999999996E-2</v>
      </c>
      <c r="P19" s="36">
        <f t="shared" si="3"/>
        <v>8.120439512357111E-2</v>
      </c>
      <c r="Q19" s="36">
        <f t="shared" si="4"/>
        <v>7.7144175367392556E-2</v>
      </c>
      <c r="R19" s="37">
        <f t="shared" si="5"/>
        <v>71.582080323403545</v>
      </c>
      <c r="S19" s="37">
        <f t="shared" si="6"/>
        <v>856.31791967659638</v>
      </c>
      <c r="T19" s="37">
        <f t="shared" si="7"/>
        <v>852.5504417648383</v>
      </c>
      <c r="U19" s="37">
        <f t="shared" si="8"/>
        <v>25.576513252945148</v>
      </c>
      <c r="V19" s="37">
        <f t="shared" si="9"/>
        <v>24.29768759029789</v>
      </c>
      <c r="W19" s="37">
        <f t="shared" si="10"/>
        <v>9.7190750361191576</v>
      </c>
      <c r="X19" s="37">
        <f t="shared" si="11"/>
        <v>14.578612554178733</v>
      </c>
      <c r="Y19" s="36">
        <f t="shared" si="12"/>
        <v>-1.8025009252216603E-2</v>
      </c>
      <c r="Z19" s="36">
        <f t="shared" si="13"/>
        <v>6.9999999999999993E-3</v>
      </c>
      <c r="AA19" s="36">
        <f t="shared" si="14"/>
        <v>4.5062523130541508E-3</v>
      </c>
      <c r="AB19" s="36">
        <f t="shared" si="15"/>
        <v>-6.5187569391624532E-3</v>
      </c>
      <c r="AC19" s="37">
        <f t="shared" si="16"/>
        <v>-3.1054706182476011</v>
      </c>
      <c r="AD19" s="36">
        <f t="shared" si="17"/>
        <v>-2.0278135408743677E-2</v>
      </c>
      <c r="AE19" s="36">
        <f t="shared" si="18"/>
        <v>-2.9290640034851982E-2</v>
      </c>
      <c r="AF19" s="36">
        <f t="shared" si="19"/>
        <v>7.0207411037383682E-3</v>
      </c>
      <c r="AG19" s="36">
        <f t="shared" si="20"/>
        <v>0.5</v>
      </c>
      <c r="AH19" s="36">
        <f t="shared" si="21"/>
        <v>0.48928284568286767</v>
      </c>
      <c r="AI19" s="37">
        <f t="shared" si="22"/>
        <v>339.43813145025115</v>
      </c>
    </row>
  </sheetData>
  <autoFilter ref="A4:AI19" xr:uid="{00000000-0009-0000-0000-000005000000}"/>
  <mergeCells count="2">
    <mergeCell ref="A2:AI2"/>
    <mergeCell ref="A1:AI1"/>
  </mergeCells>
  <pageMargins left="0.75" right="0.75" top="1" bottom="1" header="0.5" footer="0.5"/>
  <pageSetup orientation="landscape"/>
  <headerFooter>
    <oddFooter>&amp;CVietnam carbon tax impact simulation | v1.0 | 14 Jul 2026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2C6FA6"/>
    <pageSetUpPr fitToPage="1"/>
  </sheetPr>
  <dimension ref="A1:J16"/>
  <sheetViews>
    <sheetView showGridLines="0" workbookViewId="0">
      <pane xSplit="1" ySplit="4" topLeftCell="B5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42" customWidth="1"/>
    <col min="2" max="3" width="16" customWidth="1"/>
    <col min="4" max="4" width="18" customWidth="1"/>
    <col min="5" max="6" width="17" customWidth="1"/>
    <col min="7" max="7" width="54" customWidth="1"/>
  </cols>
  <sheetData>
    <row r="1" spans="1:10" ht="30" customHeight="1" x14ac:dyDescent="0.25">
      <c r="A1" s="50" t="s">
        <v>213</v>
      </c>
      <c r="B1" s="45"/>
      <c r="C1" s="45"/>
      <c r="D1" s="45"/>
      <c r="E1" s="45"/>
      <c r="F1" s="45"/>
      <c r="G1" s="45"/>
      <c r="H1" s="45"/>
      <c r="I1" s="45"/>
      <c r="J1" s="45"/>
    </row>
    <row r="2" spans="1:10" ht="27.95" customHeight="1" x14ac:dyDescent="0.25">
      <c r="A2" s="46" t="s">
        <v>214</v>
      </c>
      <c r="B2" s="45"/>
      <c r="C2" s="45"/>
      <c r="D2" s="45"/>
      <c r="E2" s="45"/>
      <c r="F2" s="45"/>
      <c r="G2" s="45"/>
      <c r="H2" s="45"/>
      <c r="I2" s="45"/>
      <c r="J2" s="45"/>
    </row>
    <row r="4" spans="1:10" ht="30" customHeight="1" x14ac:dyDescent="0.25">
      <c r="A4" s="4" t="s">
        <v>18</v>
      </c>
      <c r="B4" s="4" t="s">
        <v>19</v>
      </c>
      <c r="C4" s="4" t="s">
        <v>20</v>
      </c>
      <c r="D4" s="4" t="s">
        <v>21</v>
      </c>
      <c r="E4" s="4" t="s">
        <v>22</v>
      </c>
      <c r="F4" s="4" t="s">
        <v>23</v>
      </c>
      <c r="G4" s="4" t="s">
        <v>215</v>
      </c>
    </row>
    <row r="5" spans="1:10" ht="30" x14ac:dyDescent="0.25">
      <c r="A5" t="s">
        <v>216</v>
      </c>
      <c r="B5" s="18">
        <f>pilot_ets_base_gross_fiscal_revenue_bn</f>
        <v>0.25380661802350729</v>
      </c>
      <c r="C5" s="18">
        <f>tax_only_base_gross_fiscal_revenue_bn</f>
        <v>13.514863499999999</v>
      </c>
      <c r="D5" s="18">
        <f>just_transition_base_gross_fiscal_revenue_bn</f>
        <v>13.0973085</v>
      </c>
      <c r="E5" s="18">
        <f>protected_industry_base_gross_fiscal_revenue_bn</f>
        <v>7.4339487935999999</v>
      </c>
      <c r="F5" s="18">
        <f>accelerated_base_gross_fiscal_revenue_bn</f>
        <v>24.711669670593533</v>
      </c>
      <c r="G5" s="20" t="s">
        <v>217</v>
      </c>
    </row>
    <row r="6" spans="1:10" x14ac:dyDescent="0.25">
      <c r="A6" t="s">
        <v>218</v>
      </c>
      <c r="B6" s="18">
        <f>pilot_ets_base_net_fiscal_revenue_bn</f>
        <v>0.22842595622115658</v>
      </c>
      <c r="C6" s="18">
        <f>tax_only_base_net_fiscal_revenue_bn</f>
        <v>12.839120324999998</v>
      </c>
      <c r="D6" s="18">
        <f>just_transition_base_net_fiscal_revenue_bn</f>
        <v>12.442443075</v>
      </c>
      <c r="E6" s="18">
        <f>protected_industry_base_net_fiscal_revenue_bn</f>
        <v>6.6905539142399997</v>
      </c>
      <c r="F6" s="18">
        <f>accelerated_base_net_fiscal_revenue_bn</f>
        <v>23.476086187063856</v>
      </c>
      <c r="G6" s="20" t="s">
        <v>219</v>
      </c>
    </row>
    <row r="7" spans="1:10" x14ac:dyDescent="0.25">
      <c r="A7" t="s">
        <v>220</v>
      </c>
      <c r="B7" s="18">
        <f>pilot_ets_base_recycled_revenue_bn</f>
        <v>4.5685191244231316E-2</v>
      </c>
      <c r="C7" s="18">
        <f>tax_only_base_recycled_revenue_bn</f>
        <v>0</v>
      </c>
      <c r="D7" s="18">
        <f>just_transition_base_recycled_revenue_bn</f>
        <v>3.7327329224999999</v>
      </c>
      <c r="E7" s="18">
        <f>protected_industry_base_recycled_revenue_bn</f>
        <v>2.0071661742719997</v>
      </c>
      <c r="F7" s="18">
        <f>accelerated_base_recycled_revenue_bn</f>
        <v>9.3904344748255433</v>
      </c>
      <c r="G7" s="20" t="s">
        <v>221</v>
      </c>
    </row>
    <row r="8" spans="1:10" x14ac:dyDescent="0.25">
      <c r="A8" t="s">
        <v>222</v>
      </c>
      <c r="B8" s="18">
        <f>pilot_ets_base_net_budget_revenue_bn</f>
        <v>0.18274076497692526</v>
      </c>
      <c r="C8" s="18">
        <f>tax_only_base_net_budget_revenue_bn</f>
        <v>12.839120324999998</v>
      </c>
      <c r="D8" s="18">
        <f>just_transition_base_net_budget_revenue_bn</f>
        <v>8.7097101524999996</v>
      </c>
      <c r="E8" s="18">
        <f>protected_industry_base_net_budget_revenue_bn</f>
        <v>4.6833877399679995</v>
      </c>
      <c r="F8" s="18">
        <f>accelerated_base_net_budget_revenue_bn</f>
        <v>14.085651712238313</v>
      </c>
      <c r="G8" s="20" t="s">
        <v>223</v>
      </c>
    </row>
    <row r="9" spans="1:10" ht="30" x14ac:dyDescent="0.25">
      <c r="A9" t="s">
        <v>224</v>
      </c>
      <c r="B9" s="17">
        <f>pilot_ets_base_household_compensation_pct</f>
        <v>0.33333333333333337</v>
      </c>
      <c r="C9" s="17">
        <f>tax_only_base_household_compensation_pct</f>
        <v>0</v>
      </c>
      <c r="D9" s="17">
        <f>just_transition_base_household_compensation_pct</f>
        <v>0.5</v>
      </c>
      <c r="E9" s="17">
        <f>protected_industry_base_household_compensation_pct</f>
        <v>0.5</v>
      </c>
      <c r="F9" s="17">
        <f>accelerated_base_household_compensation_pct</f>
        <v>0.5</v>
      </c>
      <c r="G9" s="20" t="s">
        <v>225</v>
      </c>
    </row>
    <row r="10" spans="1:10" x14ac:dyDescent="0.25">
      <c r="A10" t="s">
        <v>226</v>
      </c>
      <c r="B10" s="18">
        <f>pilot_ets_base_fiscal_revenue_per_t_abated</f>
        <v>46.429099582797285</v>
      </c>
      <c r="C10" s="18">
        <f>tax_only_base_fiscal_revenue_per_t_abated</f>
        <v>477.1293103448275</v>
      </c>
      <c r="D10" s="18">
        <f>just_transition_base_fiscal_revenue_per_t_abated</f>
        <v>239.23728813559325</v>
      </c>
      <c r="E10" s="18">
        <f>protected_industry_base_fiscal_revenue_per_t_abated</f>
        <v>194.91851211072662</v>
      </c>
      <c r="F10" s="18">
        <f>accelerated_base_fiscal_revenue_per_t_abated</f>
        <v>237.20695477927174</v>
      </c>
      <c r="G10" s="20" t="s">
        <v>227</v>
      </c>
    </row>
    <row r="13" spans="1:10" ht="20.100000000000001" customHeight="1" x14ac:dyDescent="0.25">
      <c r="A13" s="49" t="s">
        <v>228</v>
      </c>
      <c r="B13" s="45"/>
      <c r="C13" s="45"/>
      <c r="D13" s="45"/>
      <c r="E13" s="45"/>
      <c r="F13" s="45"/>
      <c r="G13" s="45"/>
      <c r="H13" s="45"/>
      <c r="I13" s="45"/>
      <c r="J13" s="45"/>
    </row>
    <row r="14" spans="1:10" x14ac:dyDescent="0.25">
      <c r="A14" t="s">
        <v>229</v>
      </c>
      <c r="B14" s="19">
        <f>base_revenue_recycling_threshold</f>
        <v>0.3</v>
      </c>
    </row>
    <row r="15" spans="1:10" x14ac:dyDescent="0.25">
      <c r="A15" t="s">
        <v>230</v>
      </c>
      <c r="B15" s="19">
        <f>just_transition_recycling</f>
        <v>0.3</v>
      </c>
    </row>
    <row r="16" spans="1:10" x14ac:dyDescent="0.25">
      <c r="A16" t="s">
        <v>231</v>
      </c>
      <c r="B16" t="str">
        <f>IF(B15&gt;=B14,"YES","NO")</f>
        <v>YES</v>
      </c>
    </row>
  </sheetData>
  <mergeCells count="3">
    <mergeCell ref="A1:J1"/>
    <mergeCell ref="A13:J13"/>
    <mergeCell ref="A2:J2"/>
  </mergeCells>
  <pageMargins left="0.75" right="0.75" top="1" bottom="1" header="0.5" footer="0.5"/>
  <pageSetup orientation="landscape"/>
  <headerFooter>
    <oddFooter>&amp;CVietnam carbon tax impact simulation | v1.0 | 14 Jul 2026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2C6FA6"/>
    <pageSetUpPr fitToPage="1"/>
  </sheetPr>
  <dimension ref="A1:K12"/>
  <sheetViews>
    <sheetView showGridLines="0" workbookViewId="0">
      <pane xSplit="1" ySplit="4" topLeftCell="B5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38" customWidth="1"/>
    <col min="2" max="3" width="16" customWidth="1"/>
    <col min="4" max="4" width="18" customWidth="1"/>
    <col min="5" max="6" width="17" customWidth="1"/>
    <col min="7" max="7" width="60" customWidth="1"/>
  </cols>
  <sheetData>
    <row r="1" spans="1:11" ht="30" customHeight="1" x14ac:dyDescent="0.25">
      <c r="A1" s="50" t="s">
        <v>232</v>
      </c>
      <c r="B1" s="45"/>
      <c r="C1" s="45"/>
      <c r="D1" s="45"/>
      <c r="E1" s="45"/>
      <c r="F1" s="45"/>
      <c r="G1" s="45"/>
      <c r="H1" s="45"/>
      <c r="I1" s="45"/>
      <c r="J1" s="45"/>
      <c r="K1" s="45"/>
    </row>
    <row r="2" spans="1:11" ht="27.95" customHeight="1" x14ac:dyDescent="0.25">
      <c r="A2" s="46" t="s">
        <v>233</v>
      </c>
      <c r="B2" s="45"/>
      <c r="C2" s="45"/>
      <c r="D2" s="45"/>
      <c r="E2" s="45"/>
      <c r="F2" s="45"/>
      <c r="G2" s="45"/>
      <c r="H2" s="45"/>
      <c r="I2" s="45"/>
      <c r="J2" s="45"/>
      <c r="K2" s="45"/>
    </row>
    <row r="4" spans="1:11" ht="30" customHeight="1" x14ac:dyDescent="0.25">
      <c r="A4" s="4" t="s">
        <v>234</v>
      </c>
      <c r="B4" s="4" t="s">
        <v>19</v>
      </c>
      <c r="C4" s="4" t="s">
        <v>20</v>
      </c>
      <c r="D4" s="4" t="s">
        <v>21</v>
      </c>
      <c r="E4" s="4" t="s">
        <v>22</v>
      </c>
      <c r="F4" s="4" t="s">
        <v>23</v>
      </c>
      <c r="G4" s="4" t="s">
        <v>235</v>
      </c>
    </row>
    <row r="5" spans="1:11" ht="30" x14ac:dyDescent="0.25">
      <c r="A5" t="s">
        <v>236</v>
      </c>
      <c r="B5" s="17">
        <f>pilot_ets_base_carbon_gdp_drag_pct</f>
        <v>-1.7316361589055662E-4</v>
      </c>
      <c r="C5" s="17">
        <f>tax_only_base_carbon_gdp_drag_pct</f>
        <v>-8.0000000000000002E-3</v>
      </c>
      <c r="D5" s="17">
        <f>just_transition_base_carbon_gdp_drag_pct</f>
        <v>-8.0000000000000002E-3</v>
      </c>
      <c r="E5" s="17">
        <f>protected_industry_base_carbon_gdp_drag_pct</f>
        <v>-4.4799999999999996E-3</v>
      </c>
      <c r="F5" s="17">
        <f>accelerated_base_carbon_gdp_drag_pct</f>
        <v>-1.4420007401773283E-2</v>
      </c>
      <c r="G5" s="20" t="s">
        <v>237</v>
      </c>
    </row>
    <row r="6" spans="1:11" x14ac:dyDescent="0.25">
      <c r="A6" t="s">
        <v>238</v>
      </c>
      <c r="B6" s="17">
        <f>pilot_ets_base_efficiency_gdp_benefit_pct</f>
        <v>1E-3</v>
      </c>
      <c r="C6" s="17">
        <f>tax_only_base_efficiency_gdp_benefit_pct</f>
        <v>0</v>
      </c>
      <c r="D6" s="17">
        <f>just_transition_base_efficiency_gdp_benefit_pct</f>
        <v>5.0000000000000001E-3</v>
      </c>
      <c r="E6" s="17">
        <f>protected_industry_base_efficiency_gdp_benefit_pct</f>
        <v>5.0000000000000001E-3</v>
      </c>
      <c r="F6" s="17">
        <f>accelerated_base_efficiency_gdp_benefit_pct</f>
        <v>0.01</v>
      </c>
      <c r="G6" s="20" t="s">
        <v>239</v>
      </c>
    </row>
    <row r="7" spans="1:11" ht="30" x14ac:dyDescent="0.25">
      <c r="A7" t="s">
        <v>240</v>
      </c>
      <c r="B7" s="17">
        <f>pilot_ets_base_recycling_gdp_offset_pct</f>
        <v>2.8860602648426108E-5</v>
      </c>
      <c r="C7" s="17">
        <f>tax_only_base_recycling_gdp_offset_pct</f>
        <v>0</v>
      </c>
      <c r="D7" s="17">
        <f>just_transition_base_recycling_gdp_offset_pct</f>
        <v>2E-3</v>
      </c>
      <c r="E7" s="17">
        <f>protected_industry_base_recycling_gdp_offset_pct</f>
        <v>1.1199999999999999E-3</v>
      </c>
      <c r="F7" s="17">
        <f>accelerated_base_recycling_gdp_offset_pct</f>
        <v>3.6050018504433208E-3</v>
      </c>
      <c r="G7" s="20" t="s">
        <v>241</v>
      </c>
    </row>
    <row r="8" spans="1:11" x14ac:dyDescent="0.25">
      <c r="A8" s="38" t="s">
        <v>242</v>
      </c>
      <c r="B8" s="39">
        <f>pilot_ets_base_net_gdp_impact_pct</f>
        <v>8.5569698675786951E-4</v>
      </c>
      <c r="C8" s="39">
        <f>tax_only_base_net_gdp_impact_pct</f>
        <v>-8.0000000000000002E-3</v>
      </c>
      <c r="D8" s="39">
        <f>just_transition_base_net_gdp_impact_pct</f>
        <v>-1E-3</v>
      </c>
      <c r="E8" s="39">
        <f>protected_industry_base_net_gdp_impact_pct</f>
        <v>1.6400000000000004E-3</v>
      </c>
      <c r="F8" s="39">
        <f>accelerated_base_net_gdp_impact_pct</f>
        <v>-8.1500555132996231E-4</v>
      </c>
      <c r="G8" s="20" t="s">
        <v>243</v>
      </c>
    </row>
    <row r="9" spans="1:11" x14ac:dyDescent="0.25">
      <c r="A9" t="s">
        <v>27</v>
      </c>
      <c r="B9" s="18">
        <f>pilot_ets_base_net_gdp_impact_bn</f>
        <v>0.40764548752158142</v>
      </c>
      <c r="C9" s="18">
        <f>tax_only_base_net_gdp_impact_bn</f>
        <v>-3.8111199999999998</v>
      </c>
      <c r="D9" s="18">
        <f>just_transition_base_net_gdp_impact_bn</f>
        <v>-0.47638999999999998</v>
      </c>
      <c r="E9" s="18">
        <f>protected_industry_base_net_gdp_impact_bn</f>
        <v>0.78127960000000019</v>
      </c>
      <c r="F9" s="18">
        <f>accelerated_base_net_gdp_impact_bn</f>
        <v>-0.38826049459808071</v>
      </c>
      <c r="G9" s="20" t="s">
        <v>244</v>
      </c>
    </row>
    <row r="10" spans="1:11" x14ac:dyDescent="0.25">
      <c r="A10" t="s">
        <v>245</v>
      </c>
      <c r="B10" s="17">
        <f>pilot_ets_base_trade_impact_pct</f>
        <v>-1.9480906787687618E-4</v>
      </c>
      <c r="C10" s="17">
        <f>tax_only_base_trade_impact_pct</f>
        <v>-8.9999999999999993E-3</v>
      </c>
      <c r="D10" s="17">
        <f>just_transition_base_trade_impact_pct</f>
        <v>-8.9999999999999993E-3</v>
      </c>
      <c r="E10" s="17">
        <f>protected_industry_base_trade_impact_pct</f>
        <v>-5.0399999999999993E-3</v>
      </c>
      <c r="F10" s="17">
        <f>accelerated_base_trade_impact_pct</f>
        <v>-1.6222508326994942E-2</v>
      </c>
      <c r="G10" s="20" t="s">
        <v>246</v>
      </c>
    </row>
    <row r="11" spans="1:11" x14ac:dyDescent="0.25">
      <c r="A11" t="s">
        <v>247</v>
      </c>
      <c r="B11" s="17">
        <f>pilot_ets_base_investment_impact_pct</f>
        <v>-2.8139087582215445E-4</v>
      </c>
      <c r="C11" s="17">
        <f>tax_only_base_investment_impact_pct</f>
        <v>-1.2999999999999999E-2</v>
      </c>
      <c r="D11" s="17">
        <f>just_transition_base_investment_impact_pct</f>
        <v>-1.2999999999999999E-2</v>
      </c>
      <c r="E11" s="17">
        <f>protected_industry_base_investment_impact_pct</f>
        <v>-7.2799999999999991E-3</v>
      </c>
      <c r="F11" s="17">
        <f>accelerated_base_investment_impact_pct</f>
        <v>-2.3432512027881585E-2</v>
      </c>
      <c r="G11" s="20" t="s">
        <v>248</v>
      </c>
    </row>
    <row r="12" spans="1:11" ht="30" x14ac:dyDescent="0.25">
      <c r="A12" t="s">
        <v>249</v>
      </c>
      <c r="B12" s="17">
        <f>pilot_ets_base_government_revenue_index_pct</f>
        <v>7.9871717829519236E-5</v>
      </c>
      <c r="C12" s="17">
        <f>tax_only_base_government_revenue_index_pct</f>
        <v>3.895E-3</v>
      </c>
      <c r="D12" s="17">
        <f>just_transition_base_government_revenue_index_pct</f>
        <v>3.895E-3</v>
      </c>
      <c r="E12" s="17">
        <f>protected_industry_base_government_revenue_index_pct</f>
        <v>2.0663999999999999E-3</v>
      </c>
      <c r="F12" s="17">
        <f>accelerated_base_government_revenue_index_pct</f>
        <v>7.0207411037383682E-3</v>
      </c>
      <c r="G12" s="20" t="s">
        <v>250</v>
      </c>
    </row>
  </sheetData>
  <mergeCells count="2">
    <mergeCell ref="A2:K2"/>
    <mergeCell ref="A1:K1"/>
  </mergeCells>
  <pageMargins left="0.75" right="0.75" top="1" bottom="1" header="0.5" footer="0.5"/>
  <pageSetup orientation="landscape"/>
  <headerFooter>
    <oddFooter>&amp;CVietnam carbon tax impact simulation | v1.0 | 14 Jul 2026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2C6FA6"/>
    <pageSetUpPr fitToPage="1"/>
  </sheetPr>
  <dimension ref="A1:J15"/>
  <sheetViews>
    <sheetView showGridLines="0" workbookViewId="0">
      <pane xSplit="1" ySplit="4" topLeftCell="B5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42" customWidth="1"/>
    <col min="2" max="3" width="16" customWidth="1"/>
    <col min="4" max="4" width="18" customWidth="1"/>
    <col min="5" max="6" width="17" customWidth="1"/>
    <col min="7" max="7" width="58" customWidth="1"/>
  </cols>
  <sheetData>
    <row r="1" spans="1:10" ht="30" customHeight="1" x14ac:dyDescent="0.25">
      <c r="A1" s="50" t="s">
        <v>251</v>
      </c>
      <c r="B1" s="45"/>
      <c r="C1" s="45"/>
      <c r="D1" s="45"/>
      <c r="E1" s="45"/>
      <c r="F1" s="45"/>
      <c r="G1" s="45"/>
      <c r="H1" s="45"/>
      <c r="I1" s="45"/>
      <c r="J1" s="45"/>
    </row>
    <row r="2" spans="1:10" ht="27.95" customHeight="1" x14ac:dyDescent="0.25">
      <c r="A2" s="46" t="s">
        <v>252</v>
      </c>
      <c r="B2" s="45"/>
      <c r="C2" s="45"/>
      <c r="D2" s="45"/>
      <c r="E2" s="45"/>
      <c r="F2" s="45"/>
      <c r="G2" s="45"/>
      <c r="H2" s="45"/>
      <c r="I2" s="45"/>
      <c r="J2" s="45"/>
    </row>
    <row r="4" spans="1:10" ht="30" customHeight="1" x14ac:dyDescent="0.25">
      <c r="A4" s="4" t="s">
        <v>18</v>
      </c>
      <c r="B4" s="4" t="s">
        <v>19</v>
      </c>
      <c r="C4" s="4" t="s">
        <v>20</v>
      </c>
      <c r="D4" s="4" t="s">
        <v>21</v>
      </c>
      <c r="E4" s="4" t="s">
        <v>22</v>
      </c>
      <c r="F4" s="4" t="s">
        <v>23</v>
      </c>
      <c r="G4" s="4" t="s">
        <v>253</v>
      </c>
    </row>
    <row r="5" spans="1:10" x14ac:dyDescent="0.25">
      <c r="A5" t="s">
        <v>25</v>
      </c>
      <c r="B5" s="18">
        <f>pilot_ets_base_emissions_reduction_mt</f>
        <v>4.9198877056360582</v>
      </c>
      <c r="C5" s="18">
        <f>tax_only_base_emissions_reduction_mt</f>
        <v>26.909100000000002</v>
      </c>
      <c r="D5" s="18">
        <f>just_transition_base_emissions_reduction_mt</f>
        <v>52.008794999999992</v>
      </c>
      <c r="E5" s="18">
        <f>protected_industry_base_emissions_reduction_mt</f>
        <v>34.324876799999998</v>
      </c>
      <c r="F5" s="18">
        <f>accelerated_base_emissions_reduction_mt</f>
        <v>98.968793764538077</v>
      </c>
      <c r="G5" s="20" t="s">
        <v>254</v>
      </c>
    </row>
    <row r="6" spans="1:10" x14ac:dyDescent="0.25">
      <c r="A6" t="s">
        <v>255</v>
      </c>
      <c r="B6" s="19">
        <f>pilot_ets_base_ndc_progress_pct</f>
        <v>3.3628760804074218E-2</v>
      </c>
      <c r="C6" s="19">
        <f>tax_only_base_ndc_progress_pct</f>
        <v>0.18393096377306903</v>
      </c>
      <c r="D6" s="19">
        <f>just_transition_base_ndc_progress_pct</f>
        <v>0.35549415584415578</v>
      </c>
      <c r="E6" s="19">
        <f>protected_industry_base_ndc_progress_pct</f>
        <v>0.23461980041011618</v>
      </c>
      <c r="F6" s="19">
        <f>accelerated_base_ndc_progress_pct</f>
        <v>0.67647842627845567</v>
      </c>
      <c r="G6" s="20" t="s">
        <v>256</v>
      </c>
    </row>
    <row r="7" spans="1:10" x14ac:dyDescent="0.25">
      <c r="A7" t="s">
        <v>257</v>
      </c>
      <c r="B7" s="19">
        <f>pilot_ets_base_emissions_reduction_mt/base_ndc_conditional_reduction</f>
        <v>1.2186989610195834E-2</v>
      </c>
      <c r="C7" s="19">
        <f>tax_only_base_emissions_reduction_mt/base_ndc_conditional_reduction</f>
        <v>6.665618033192966E-2</v>
      </c>
      <c r="D7" s="19">
        <f>just_transition_base_emissions_reduction_mt/base_ndc_conditional_reduction</f>
        <v>0.12883030715878127</v>
      </c>
      <c r="E7" s="19">
        <f>protected_industry_base_emissions_reduction_mt/base_ndc_conditional_reduction</f>
        <v>8.5025704235818678E-2</v>
      </c>
      <c r="F7" s="19">
        <f>accelerated_base_emissions_reduction_mt/base_ndc_conditional_reduction</f>
        <v>0.24515430707093902</v>
      </c>
      <c r="G7" s="20" t="s">
        <v>258</v>
      </c>
    </row>
    <row r="8" spans="1:10" x14ac:dyDescent="0.25">
      <c r="A8" t="s">
        <v>28</v>
      </c>
      <c r="B8" s="18">
        <f>pilot_ets_base_net_fiscal_revenue_bn</f>
        <v>0.22842595622115658</v>
      </c>
      <c r="C8" s="18">
        <f>tax_only_base_net_fiscal_revenue_bn</f>
        <v>12.839120324999998</v>
      </c>
      <c r="D8" s="18">
        <f>just_transition_base_net_fiscal_revenue_bn</f>
        <v>12.442443075</v>
      </c>
      <c r="E8" s="18">
        <f>protected_industry_base_net_fiscal_revenue_bn</f>
        <v>6.6905539142399997</v>
      </c>
      <c r="F8" s="18">
        <f>accelerated_base_net_fiscal_revenue_bn</f>
        <v>23.476086187063856</v>
      </c>
      <c r="G8" s="20" t="s">
        <v>259</v>
      </c>
    </row>
    <row r="9" spans="1:10" ht="30" x14ac:dyDescent="0.25">
      <c r="A9" t="s">
        <v>260</v>
      </c>
      <c r="B9" s="18">
        <f>pilot_ets_base_fiscal_revenue_per_t_abated</f>
        <v>46.429099582797285</v>
      </c>
      <c r="C9" s="18">
        <f>tax_only_base_fiscal_revenue_per_t_abated</f>
        <v>477.1293103448275</v>
      </c>
      <c r="D9" s="18">
        <f>just_transition_base_fiscal_revenue_per_t_abated</f>
        <v>239.23728813559325</v>
      </c>
      <c r="E9" s="18">
        <f>protected_industry_base_fiscal_revenue_per_t_abated</f>
        <v>194.91851211072662</v>
      </c>
      <c r="F9" s="18">
        <f>accelerated_base_fiscal_revenue_per_t_abated</f>
        <v>237.20695477927174</v>
      </c>
      <c r="G9" s="20" t="s">
        <v>261</v>
      </c>
    </row>
    <row r="12" spans="1:10" ht="20.100000000000001" customHeight="1" x14ac:dyDescent="0.25">
      <c r="A12" s="49" t="s">
        <v>262</v>
      </c>
      <c r="B12" s="45"/>
      <c r="C12" s="45"/>
      <c r="D12" s="45"/>
      <c r="E12" s="45"/>
      <c r="F12" s="45"/>
      <c r="G12" s="45"/>
      <c r="H12" s="45"/>
      <c r="I12" s="45"/>
      <c r="J12" s="45"/>
    </row>
    <row r="13" spans="1:10" x14ac:dyDescent="0.25">
      <c r="A13" t="s">
        <v>263</v>
      </c>
      <c r="B13">
        <f>base_baseline_ghg_emissions</f>
        <v>927.9</v>
      </c>
    </row>
    <row r="14" spans="1:10" x14ac:dyDescent="0.25">
      <c r="A14" t="s">
        <v>264</v>
      </c>
      <c r="B14">
        <f>base_ndc_unconditional_reduction</f>
        <v>146.30000000000001</v>
      </c>
    </row>
    <row r="15" spans="1:10" x14ac:dyDescent="0.25">
      <c r="A15" t="s">
        <v>265</v>
      </c>
      <c r="B15">
        <f>base_ndc_conditional_reduction</f>
        <v>403.7</v>
      </c>
    </row>
  </sheetData>
  <mergeCells count="3">
    <mergeCell ref="A1:J1"/>
    <mergeCell ref="A12:J12"/>
    <mergeCell ref="A2:J2"/>
  </mergeCells>
  <pageMargins left="0.75" right="0.75" top="1" bottom="1" header="0.5" footer="0.5"/>
  <pageSetup orientation="landscape"/>
  <headerFooter>
    <oddFooter>&amp;CVietnam carbon tax impact simulation | v1.0 | 14 Jul 2026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2C6FA6"/>
    <pageSetUpPr fitToPage="1"/>
  </sheetPr>
  <dimension ref="A1:N32"/>
  <sheetViews>
    <sheetView showGridLines="0" workbookViewId="0">
      <pane xSplit="1" ySplit="5" topLeftCell="B6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25" customWidth="1"/>
    <col min="2" max="4" width="15" customWidth="1"/>
    <col min="5" max="7" width="18" customWidth="1"/>
    <col min="8" max="10" width="16" customWidth="1"/>
    <col min="11" max="14" width="13" customWidth="1"/>
  </cols>
  <sheetData>
    <row r="1" spans="1:14" ht="30" customHeight="1" x14ac:dyDescent="0.25">
      <c r="A1" s="50" t="s">
        <v>266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</row>
    <row r="2" spans="1:14" ht="27.95" customHeight="1" x14ac:dyDescent="0.25">
      <c r="A2" s="46" t="s">
        <v>267</v>
      </c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</row>
    <row r="4" spans="1:14" ht="20.100000000000001" customHeight="1" x14ac:dyDescent="0.25">
      <c r="A4" s="49" t="s">
        <v>268</v>
      </c>
      <c r="B4" s="45"/>
      <c r="C4" s="45"/>
      <c r="D4" s="45"/>
      <c r="E4" s="45"/>
      <c r="F4" s="45"/>
      <c r="G4" s="45"/>
      <c r="H4" s="45"/>
      <c r="I4" s="45"/>
      <c r="J4" s="45"/>
      <c r="K4" s="45"/>
      <c r="L4" s="45"/>
      <c r="M4" s="45"/>
      <c r="N4" s="45"/>
    </row>
    <row r="5" spans="1:14" ht="30" customHeight="1" x14ac:dyDescent="0.25">
      <c r="A5" s="4" t="s">
        <v>269</v>
      </c>
      <c r="B5" s="4" t="s">
        <v>24</v>
      </c>
      <c r="C5" s="4" t="s">
        <v>25</v>
      </c>
      <c r="D5" s="4" t="s">
        <v>26</v>
      </c>
      <c r="E5" s="4" t="s">
        <v>28</v>
      </c>
    </row>
    <row r="6" spans="1:14" x14ac:dyDescent="0.25">
      <c r="A6" s="40">
        <v>0</v>
      </c>
      <c r="B6" s="17">
        <f t="shared" ref="B6:B12" si="0">(MIN(1,base_anchor_emissions_reduction*(A6/base_anchor_carbon_price)^base_price_response_exponent*just_transition_coverage*(1-just_transition_exemption)*scenario_base_response_multiplier)+just_transition_efficiency*base_efficiency_to_emissions_pass_through*scenario_base_efficiency_realization)*(1-just_transition_leakage)</f>
        <v>2.8499999999999998E-2</v>
      </c>
      <c r="C6" s="18">
        <f t="shared" ref="C6:C12" si="1">base_baseline_ghg_emissions*B6</f>
        <v>26.445149999999998</v>
      </c>
      <c r="D6" s="17">
        <f t="shared" ref="D6:D12" si="2">-base_anchor_gdp_drag*(A6/base_anchor_carbon_price)^base_price_response_exponent*just_transition_coverage*(1-just_transition_exemption)*scenario_base_gdp_drag_multiplier+(just_transition_efficiency/base_efficiency_benchmark*base_efficiency_gdp_benefit_at_benchmark*scenario_base_efficiency_realization)+base_anchor_gdp_drag*(A6/base_anchor_carbon_price)^base_price_response_exponent*just_transition_coverage*(1-just_transition_exemption)*scenario_base_gdp_drag_multiplier*MIN(1,just_transition_recycling/base_revenue_recycling_threshold)*base_recycling_gdp_offset_at_threshold</f>
        <v>5.0000000000000001E-3</v>
      </c>
      <c r="E6" s="18">
        <f t="shared" ref="E6:E12" si="3">A6*base_baseline_ghg_emissions*just_transition_coverage*(1-just_transition_exemption)*(1-B6)/1000*just_transition_collection</f>
        <v>0</v>
      </c>
    </row>
    <row r="7" spans="1:14" x14ac:dyDescent="0.25">
      <c r="A7" s="40">
        <v>5</v>
      </c>
      <c r="B7" s="17">
        <f t="shared" si="0"/>
        <v>3.9328505879507217E-2</v>
      </c>
      <c r="C7" s="18">
        <f t="shared" si="1"/>
        <v>36.492920605594747</v>
      </c>
      <c r="D7" s="17">
        <f t="shared" si="2"/>
        <v>2.6417047086372673E-3</v>
      </c>
      <c r="E7" s="18">
        <f t="shared" si="3"/>
        <v>4.234183627123425</v>
      </c>
    </row>
    <row r="8" spans="1:14" x14ac:dyDescent="0.25">
      <c r="A8" s="40">
        <v>10</v>
      </c>
      <c r="B8" s="17">
        <f t="shared" si="0"/>
        <v>4.801839186657994E-2</v>
      </c>
      <c r="C8" s="18">
        <f t="shared" si="1"/>
        <v>44.556265812999527</v>
      </c>
      <c r="D8" s="17">
        <f t="shared" si="2"/>
        <v>7.4917055537278895E-4</v>
      </c>
      <c r="E8" s="18">
        <f t="shared" si="3"/>
        <v>8.3917654747765056</v>
      </c>
    </row>
    <row r="9" spans="1:14" x14ac:dyDescent="0.25">
      <c r="A9" s="40">
        <v>15</v>
      </c>
      <c r="B9" s="17">
        <f t="shared" si="0"/>
        <v>5.6049999999999996E-2</v>
      </c>
      <c r="C9" s="18">
        <f t="shared" si="1"/>
        <v>52.008794999999992</v>
      </c>
      <c r="D9" s="17">
        <f t="shared" si="2"/>
        <v>-1E-3</v>
      </c>
      <c r="E9" s="18">
        <f t="shared" si="3"/>
        <v>12.481449671249999</v>
      </c>
    </row>
    <row r="10" spans="1:14" x14ac:dyDescent="0.25">
      <c r="A10" s="40">
        <v>20</v>
      </c>
      <c r="B10" s="17">
        <f t="shared" si="0"/>
        <v>6.3681919398349288E-2</v>
      </c>
      <c r="C10" s="18">
        <f t="shared" si="1"/>
        <v>59.0904530097283</v>
      </c>
      <c r="D10" s="17">
        <f t="shared" si="2"/>
        <v>-2.6621240069000253E-3</v>
      </c>
      <c r="E10" s="18">
        <f t="shared" si="3"/>
        <v>16.507381392815159</v>
      </c>
    </row>
    <row r="11" spans="1:14" x14ac:dyDescent="0.25">
      <c r="A11" s="40">
        <v>30</v>
      </c>
      <c r="B11" s="17">
        <f t="shared" si="0"/>
        <v>7.8158900489856756E-2</v>
      </c>
      <c r="C11" s="18">
        <f t="shared" si="1"/>
        <v>72.523643764538079</v>
      </c>
      <c r="D11" s="17">
        <f t="shared" si="2"/>
        <v>-5.8150055513299615E-3</v>
      </c>
      <c r="E11" s="18">
        <f t="shared" si="3"/>
        <v>24.378226152710663</v>
      </c>
    </row>
    <row r="12" spans="1:14" x14ac:dyDescent="0.25">
      <c r="A12" s="40">
        <v>50</v>
      </c>
      <c r="B12" s="17">
        <f t="shared" si="0"/>
        <v>0.10515995088575984</v>
      </c>
      <c r="C12" s="18">
        <f t="shared" si="1"/>
        <v>97.577918426896559</v>
      </c>
      <c r="D12" s="17">
        <f t="shared" si="2"/>
        <v>-1.1695452098532087E-2</v>
      </c>
      <c r="E12" s="18">
        <f t="shared" si="3"/>
        <v>39.440298874722416</v>
      </c>
    </row>
    <row r="15" spans="1:14" ht="20.100000000000001" customHeight="1" x14ac:dyDescent="0.25">
      <c r="A15" s="49" t="s">
        <v>270</v>
      </c>
      <c r="B15" s="45"/>
      <c r="C15" s="45"/>
      <c r="D15" s="45"/>
      <c r="E15" s="45"/>
      <c r="F15" s="45"/>
      <c r="G15" s="45"/>
      <c r="H15" s="45"/>
      <c r="I15" s="45"/>
      <c r="J15" s="45"/>
      <c r="K15" s="45"/>
      <c r="L15" s="45"/>
      <c r="M15" s="45"/>
      <c r="N15" s="45"/>
    </row>
    <row r="16" spans="1:14" x14ac:dyDescent="0.25">
      <c r="A16" t="s">
        <v>271</v>
      </c>
      <c r="B16" s="23">
        <v>0.3</v>
      </c>
      <c r="C16" s="23">
        <v>0.5</v>
      </c>
      <c r="D16" s="23">
        <v>0.7</v>
      </c>
      <c r="E16" s="23">
        <v>0.85</v>
      </c>
      <c r="F16" s="23">
        <v>1</v>
      </c>
    </row>
    <row r="17" spans="1:14" x14ac:dyDescent="0.25">
      <c r="A17" s="40">
        <v>5</v>
      </c>
      <c r="B17" s="17">
        <f t="shared" ref="B17:F22" si="4">(MIN(1,base_anchor_emissions_reduction*($A17/base_anchor_carbon_price)^base_price_response_exponent*B$16*(1-just_transition_exemption)*scenario_base_response_multiplier)+just_transition_efficiency*base_efficiency_to_emissions_pass_through)*(1-just_transition_leakage)</f>
        <v>3.1748551763852162E-2</v>
      </c>
      <c r="C17" s="17">
        <f t="shared" si="4"/>
        <v>3.3914252939753607E-2</v>
      </c>
      <c r="D17" s="17">
        <f t="shared" si="4"/>
        <v>3.6079954115655045E-2</v>
      </c>
      <c r="E17" s="17">
        <f t="shared" si="4"/>
        <v>3.7704229997581128E-2</v>
      </c>
      <c r="F17" s="17">
        <f t="shared" si="4"/>
        <v>3.9328505879507217E-2</v>
      </c>
    </row>
    <row r="18" spans="1:14" x14ac:dyDescent="0.25">
      <c r="A18" s="40">
        <v>10</v>
      </c>
      <c r="B18" s="17">
        <f t="shared" si="4"/>
        <v>3.4355517559973979E-2</v>
      </c>
      <c r="C18" s="17">
        <f t="shared" si="4"/>
        <v>3.8259195933289969E-2</v>
      </c>
      <c r="D18" s="17">
        <f t="shared" si="4"/>
        <v>4.2162874306605959E-2</v>
      </c>
      <c r="E18" s="17">
        <f t="shared" si="4"/>
        <v>4.5090633086592953E-2</v>
      </c>
      <c r="F18" s="17">
        <f t="shared" si="4"/>
        <v>4.801839186657994E-2</v>
      </c>
    </row>
    <row r="19" spans="1:14" x14ac:dyDescent="0.25">
      <c r="A19" s="40">
        <v>15</v>
      </c>
      <c r="B19" s="17">
        <f t="shared" si="4"/>
        <v>3.6764999999999999E-2</v>
      </c>
      <c r="C19" s="17">
        <f t="shared" si="4"/>
        <v>4.2274999999999993E-2</v>
      </c>
      <c r="D19" s="17">
        <f t="shared" si="4"/>
        <v>4.7784999999999994E-2</v>
      </c>
      <c r="E19" s="17">
        <f t="shared" si="4"/>
        <v>5.1917499999999998E-2</v>
      </c>
      <c r="F19" s="17">
        <f t="shared" si="4"/>
        <v>5.6049999999999996E-2</v>
      </c>
    </row>
    <row r="20" spans="1:14" x14ac:dyDescent="0.25">
      <c r="A20" s="40">
        <v>20</v>
      </c>
      <c r="B20" s="17">
        <f t="shared" si="4"/>
        <v>3.9054575819504785E-2</v>
      </c>
      <c r="C20" s="17">
        <f t="shared" si="4"/>
        <v>4.6090959699174643E-2</v>
      </c>
      <c r="D20" s="17">
        <f t="shared" si="4"/>
        <v>5.3127343578844494E-2</v>
      </c>
      <c r="E20" s="17">
        <f t="shared" si="4"/>
        <v>5.8404631488596884E-2</v>
      </c>
      <c r="F20" s="17">
        <f t="shared" si="4"/>
        <v>6.3681919398349288E-2</v>
      </c>
    </row>
    <row r="21" spans="1:14" x14ac:dyDescent="0.25">
      <c r="A21" s="40">
        <v>30</v>
      </c>
      <c r="B21" s="17">
        <f t="shared" si="4"/>
        <v>4.3397670146957022E-2</v>
      </c>
      <c r="C21" s="17">
        <f t="shared" si="4"/>
        <v>5.3329450244928377E-2</v>
      </c>
      <c r="D21" s="17">
        <f t="shared" si="4"/>
        <v>6.3261230342899724E-2</v>
      </c>
      <c r="E21" s="17">
        <f t="shared" si="4"/>
        <v>7.071006541637824E-2</v>
      </c>
      <c r="F21" s="17">
        <f t="shared" si="4"/>
        <v>7.8158900489856756E-2</v>
      </c>
    </row>
    <row r="22" spans="1:14" x14ac:dyDescent="0.25">
      <c r="A22" s="40">
        <v>50</v>
      </c>
      <c r="B22" s="17">
        <f t="shared" si="4"/>
        <v>5.149798526572795E-2</v>
      </c>
      <c r="C22" s="17">
        <f t="shared" si="4"/>
        <v>6.6829975442879927E-2</v>
      </c>
      <c r="D22" s="17">
        <f t="shared" si="4"/>
        <v>8.216196562003189E-2</v>
      </c>
      <c r="E22" s="17">
        <f t="shared" si="4"/>
        <v>9.366095825289586E-2</v>
      </c>
      <c r="F22" s="17">
        <f t="shared" si="4"/>
        <v>0.10515995088575984</v>
      </c>
    </row>
    <row r="25" spans="1:14" ht="20.100000000000001" customHeight="1" x14ac:dyDescent="0.25">
      <c r="A25" s="49" t="s">
        <v>272</v>
      </c>
      <c r="B25" s="45"/>
      <c r="C25" s="45"/>
      <c r="D25" s="45"/>
      <c r="E25" s="45"/>
      <c r="F25" s="45"/>
      <c r="G25" s="45"/>
      <c r="H25" s="45"/>
      <c r="I25" s="45"/>
      <c r="J25" s="45"/>
      <c r="K25" s="45"/>
      <c r="L25" s="45"/>
      <c r="M25" s="45"/>
      <c r="N25" s="45"/>
    </row>
    <row r="26" spans="1:14" ht="30" customHeight="1" x14ac:dyDescent="0.25">
      <c r="A26" s="4" t="s">
        <v>273</v>
      </c>
      <c r="B26" s="4" t="s">
        <v>274</v>
      </c>
      <c r="C26" s="4" t="s">
        <v>275</v>
      </c>
      <c r="D26" s="4" t="s">
        <v>276</v>
      </c>
      <c r="E26" s="4" t="s">
        <v>277</v>
      </c>
      <c r="F26" s="4" t="s">
        <v>278</v>
      </c>
      <c r="G26" s="4" t="s">
        <v>279</v>
      </c>
      <c r="H26" s="4" t="s">
        <v>280</v>
      </c>
      <c r="I26" s="4" t="s">
        <v>281</v>
      </c>
      <c r="J26" s="4" t="s">
        <v>282</v>
      </c>
    </row>
    <row r="27" spans="1:14" x14ac:dyDescent="0.25">
      <c r="A27" t="s">
        <v>283</v>
      </c>
      <c r="B27">
        <f>just_transition_price*0.8</f>
        <v>12</v>
      </c>
      <c r="C27">
        <f>just_transition_price</f>
        <v>15</v>
      </c>
      <c r="D27">
        <f>just_transition_price*1.2</f>
        <v>18</v>
      </c>
      <c r="E27" s="17">
        <f>(MIN(1,base_anchor_emissions_reduction*(B27/base_anchor_carbon_price)^base_price_response_exponent*just_transition_coverage*(1-just_transition_exemption)*scenario_base_response_multiplier)+just_transition_efficiency*base_efficiency_to_emissions_pass_through)* (1-just_transition_leakage)</f>
        <v>5.1290197675032997E-2</v>
      </c>
      <c r="F27" s="17">
        <f>(MIN(1,base_anchor_emissions_reduction*(C27/base_anchor_carbon_price)^base_price_response_exponent*just_transition_coverage*(1-just_transition_exemption)*scenario_base_response_multiplier)+just_transition_efficiency*base_efficiency_to_emissions_pass_through)* (1-just_transition_leakage)</f>
        <v>5.6049999999999996E-2</v>
      </c>
      <c r="G27" s="17">
        <f>(MIN(1,base_anchor_emissions_reduction*(D27/base_anchor_carbon_price)^base_price_response_exponent*just_transition_coverage*(1-just_transition_exemption)*scenario_base_response_multiplier)+just_transition_efficiency*base_efficiency_to_emissions_pass_through)* (1-just_transition_leakage)</f>
        <v>6.0668118676939733E-2</v>
      </c>
      <c r="H27" s="17">
        <f>-base_anchor_gdp_drag*(B27/base_anchor_carbon_price)^base_price_response_exponent*just_transition_coverage*(1-just_transition_exemption)*scenario_base_gdp_drag_multiplier+(just_transition_efficiency/base_efficiency_benchmark*base_efficiency_gdp_benefit_at_benchmark*scenario_base_efficiency_realization)+base_anchor_gdp_drag*(B27/base_anchor_carbon_price)^base_price_response_exponent*just_transition_coverage*(1-just_transition_exemption)*scenario_base_gdp_drag_multiplier*MIN(1,just_transition_recycling/base_revenue_recycling_threshold)*base_recycling_gdp_offset_at_threshold</f>
        <v>3.6617566236007808E-5</v>
      </c>
      <c r="I27" s="17">
        <f>-base_anchor_gdp_drag*(C27/base_anchor_carbon_price)^base_price_response_exponent*just_transition_coverage*(1-just_transition_exemption)*scenario_base_gdp_drag_multiplier+(just_transition_efficiency/base_efficiency_benchmark*base_efficiency_gdp_benefit_at_benchmark*scenario_base_efficiency_realization)+base_anchor_gdp_drag*(C27/base_anchor_carbon_price)^base_price_response_exponent*just_transition_coverage*(1-just_transition_exemption)*scenario_base_gdp_drag_multiplier*MIN(1,just_transition_recycling/base_revenue_recycling_threshold)*base_recycling_gdp_offset_at_threshold</f>
        <v>-1E-3</v>
      </c>
      <c r="J27" s="17">
        <f>-base_anchor_gdp_drag*(D27/base_anchor_carbon_price)^base_price_response_exponent*just_transition_coverage*(1-just_transition_exemption)*scenario_base_gdp_drag_multiplier+(just_transition_efficiency/base_efficiency_benchmark*base_efficiency_gdp_benefit_at_benchmark*scenario_base_efficiency_realization)+base_anchor_gdp_drag*(D27/base_anchor_carbon_price)^base_price_response_exponent*just_transition_coverage*(1-just_transition_exemption)*scenario_base_gdp_drag_multiplier*MIN(1,just_transition_recycling/base_revenue_recycling_threshold)*base_recycling_gdp_offset_at_threshold</f>
        <v>-2.0057608733807064E-3</v>
      </c>
    </row>
    <row r="28" spans="1:14" x14ac:dyDescent="0.25">
      <c r="A28" t="s">
        <v>160</v>
      </c>
      <c r="B28">
        <f>just_transition_coverage*0.8</f>
        <v>0.8</v>
      </c>
      <c r="C28">
        <f>just_transition_coverage</f>
        <v>1</v>
      </c>
      <c r="D28">
        <f>just_transition_coverage*1</f>
        <v>1</v>
      </c>
      <c r="E28" s="17">
        <f>(MIN(1,base_anchor_emissions_reduction*(just_transition_price/base_anchor_carbon_price)^base_price_response_exponent*B28*(1-just_transition_exemption)*scenario_base_response_multiplier)+just_transition_efficiency*base_efficiency_to_emissions_pass_through)* (1-just_transition_leakage)</f>
        <v>5.0539999999999995E-2</v>
      </c>
      <c r="F28" s="17">
        <f>(MIN(1,base_anchor_emissions_reduction*(just_transition_price/base_anchor_carbon_price)^base_price_response_exponent*C28*(1-just_transition_exemption)*scenario_base_response_multiplier)+just_transition_efficiency*base_efficiency_to_emissions_pass_through)* (1-just_transition_leakage)</f>
        <v>5.6049999999999996E-2</v>
      </c>
      <c r="G28" s="17">
        <f>(MIN(1,base_anchor_emissions_reduction*(just_transition_price/base_anchor_carbon_price)^base_price_response_exponent*D28*(1-just_transition_exemption)*scenario_base_response_multiplier)+just_transition_efficiency*base_efficiency_to_emissions_pass_through)* (1-just_transition_leakage)</f>
        <v>5.6049999999999996E-2</v>
      </c>
      <c r="H28" s="17">
        <f>-base_anchor_gdp_drag*(just_transition_price/base_anchor_carbon_price)^base_price_response_exponent*B28*(1-just_transition_exemption)*scenario_base_gdp_drag_multiplier+(just_transition_efficiency/base_efficiency_benchmark*base_efficiency_gdp_benefit_at_benchmark*scenario_base_efficiency_realization)+base_anchor_gdp_drag*(just_transition_price/base_anchor_carbon_price)^base_price_response_exponent*B28*(1-just_transition_exemption)*scenario_base_gdp_drag_multiplier*MIN(1,just_transition_recycling/base_revenue_recycling_threshold)*base_recycling_gdp_offset_at_threshold</f>
        <v>1.9999999999999987E-4</v>
      </c>
      <c r="I28" s="17">
        <f>-base_anchor_gdp_drag*(just_transition_price/base_anchor_carbon_price)^base_price_response_exponent*C28*(1-just_transition_exemption)*scenario_base_gdp_drag_multiplier+(just_transition_efficiency/base_efficiency_benchmark*base_efficiency_gdp_benefit_at_benchmark*scenario_base_efficiency_realization)+base_anchor_gdp_drag*(just_transition_price/base_anchor_carbon_price)^base_price_response_exponent*C28*(1-just_transition_exemption)*scenario_base_gdp_drag_multiplier*MIN(1,just_transition_recycling/base_revenue_recycling_threshold)*base_recycling_gdp_offset_at_threshold</f>
        <v>-1E-3</v>
      </c>
      <c r="J28" s="17">
        <f>-base_anchor_gdp_drag*(just_transition_price/base_anchor_carbon_price)^base_price_response_exponent*D28*(1-just_transition_exemption)*scenario_base_gdp_drag_multiplier+(just_transition_efficiency/base_efficiency_benchmark*base_efficiency_gdp_benefit_at_benchmark*scenario_base_efficiency_realization)+base_anchor_gdp_drag*(just_transition_price/base_anchor_carbon_price)^base_price_response_exponent*D28*(1-just_transition_exemption)*scenario_base_gdp_drag_multiplier*MIN(1,just_transition_recycling/base_revenue_recycling_threshold)*base_recycling_gdp_offset_at_threshold</f>
        <v>-1E-3</v>
      </c>
    </row>
    <row r="29" spans="1:14" x14ac:dyDescent="0.25">
      <c r="A29" t="s">
        <v>177</v>
      </c>
      <c r="B29">
        <f>scenario_base_response_multiplier*0.8</f>
        <v>0.8</v>
      </c>
      <c r="C29">
        <f>scenario_base_response_multiplier</f>
        <v>1</v>
      </c>
      <c r="D29">
        <f>scenario_base_response_multiplier*1.2</f>
        <v>1.2</v>
      </c>
      <c r="E29" s="17">
        <f>(MIN(1,base_anchor_emissions_reduction*(just_transition_price/base_anchor_carbon_price)^base_price_response_exponent*just_transition_coverage*(1-just_transition_exemption)*B29)+just_transition_efficiency*base_efficiency_to_emissions_pass_through)* (1-just_transition_leakage)</f>
        <v>5.0539999999999995E-2</v>
      </c>
      <c r="F29" s="17">
        <f>(MIN(1,base_anchor_emissions_reduction*(just_transition_price/base_anchor_carbon_price)^base_price_response_exponent*just_transition_coverage*(1-just_transition_exemption)*C29)+just_transition_efficiency*base_efficiency_to_emissions_pass_through)* (1-just_transition_leakage)</f>
        <v>5.6049999999999996E-2</v>
      </c>
      <c r="G29" s="17">
        <f>(MIN(1,base_anchor_emissions_reduction*(just_transition_price/base_anchor_carbon_price)^base_price_response_exponent*just_transition_coverage*(1-just_transition_exemption)*D29)+just_transition_efficiency*base_efficiency_to_emissions_pass_through)* (1-just_transition_leakage)</f>
        <v>6.1559999999999997E-2</v>
      </c>
      <c r="H29" s="17">
        <f t="shared" ref="H29:J30" si="5">-base_anchor_gdp_drag*(just_transition_price/base_anchor_carbon_price)^base_price_response_exponent*just_transition_coverage*(1-just_transition_exemption)*scenario_base_gdp_drag_multiplier+(just_transition_efficiency/base_efficiency_benchmark*base_efficiency_gdp_benefit_at_benchmark*scenario_base_efficiency_realization)+base_anchor_gdp_drag*(just_transition_price/base_anchor_carbon_price)^base_price_response_exponent*just_transition_coverage*(1-just_transition_exemption)*scenario_base_gdp_drag_multiplier*MIN(1,just_transition_recycling/base_revenue_recycling_threshold)*base_recycling_gdp_offset_at_threshold</f>
        <v>-1E-3</v>
      </c>
      <c r="I29" s="17">
        <f t="shared" si="5"/>
        <v>-1E-3</v>
      </c>
      <c r="J29" s="17">
        <f t="shared" si="5"/>
        <v>-1E-3</v>
      </c>
    </row>
    <row r="30" spans="1:14" x14ac:dyDescent="0.25">
      <c r="A30" t="s">
        <v>187</v>
      </c>
      <c r="B30">
        <f>just_transition_leakage*0.8</f>
        <v>4.0000000000000008E-2</v>
      </c>
      <c r="C30">
        <f>just_transition_leakage</f>
        <v>0.05</v>
      </c>
      <c r="D30">
        <f>just_transition_leakage*1.2</f>
        <v>0.06</v>
      </c>
      <c r="E30" s="17">
        <f>(MIN(1,base_anchor_emissions_reduction*(just_transition_price/base_anchor_carbon_price)^base_price_response_exponent*just_transition_coverage*(1-just_transition_exemption)*scenario_base_response_multiplier)+just_transition_efficiency*base_efficiency_to_emissions_pass_through)* (1-B30)</f>
        <v>5.6639999999999996E-2</v>
      </c>
      <c r="F30" s="17">
        <f>(MIN(1,base_anchor_emissions_reduction*(just_transition_price/base_anchor_carbon_price)^base_price_response_exponent*just_transition_coverage*(1-just_transition_exemption)*scenario_base_response_multiplier)+just_transition_efficiency*base_efficiency_to_emissions_pass_through)* (1-C30)</f>
        <v>5.6049999999999996E-2</v>
      </c>
      <c r="G30" s="17">
        <f>(MIN(1,base_anchor_emissions_reduction*(just_transition_price/base_anchor_carbon_price)^base_price_response_exponent*just_transition_coverage*(1-just_transition_exemption)*scenario_base_response_multiplier)+just_transition_efficiency*base_efficiency_to_emissions_pass_through)* (1-D30)</f>
        <v>5.5459999999999995E-2</v>
      </c>
      <c r="H30" s="17">
        <f t="shared" si="5"/>
        <v>-1E-3</v>
      </c>
      <c r="I30" s="17">
        <f t="shared" si="5"/>
        <v>-1E-3</v>
      </c>
      <c r="J30" s="17">
        <f t="shared" si="5"/>
        <v>-1E-3</v>
      </c>
    </row>
    <row r="31" spans="1:14" x14ac:dyDescent="0.25">
      <c r="A31" t="s">
        <v>284</v>
      </c>
      <c r="B31">
        <f>just_transition_efficiency*0.8</f>
        <v>4.0000000000000008E-2</v>
      </c>
      <c r="C31">
        <f>just_transition_efficiency</f>
        <v>0.05</v>
      </c>
      <c r="D31">
        <f>just_transition_efficiency*1.2</f>
        <v>0.06</v>
      </c>
      <c r="E31" s="17">
        <f>(MIN(1,base_anchor_emissions_reduction*(just_transition_price/base_anchor_carbon_price)^base_price_response_exponent*just_transition_coverage*(1-just_transition_exemption)*scenario_base_response_multiplier)+B31*base_efficiency_to_emissions_pass_through)* (1-just_transition_leakage)</f>
        <v>5.0350000000000006E-2</v>
      </c>
      <c r="F31" s="17">
        <f>(MIN(1,base_anchor_emissions_reduction*(just_transition_price/base_anchor_carbon_price)^base_price_response_exponent*just_transition_coverage*(1-just_transition_exemption)*scenario_base_response_multiplier)+C31*base_efficiency_to_emissions_pass_through)* (1-just_transition_leakage)</f>
        <v>5.6049999999999996E-2</v>
      </c>
      <c r="G31" s="17">
        <f>(MIN(1,base_anchor_emissions_reduction*(just_transition_price/base_anchor_carbon_price)^base_price_response_exponent*just_transition_coverage*(1-just_transition_exemption)*scenario_base_response_multiplier)+D31*base_efficiency_to_emissions_pass_through)* (1-just_transition_leakage)</f>
        <v>6.1749999999999999E-2</v>
      </c>
      <c r="H31" s="17">
        <f>-base_anchor_gdp_drag*(just_transition_price/base_anchor_carbon_price)^base_price_response_exponent*just_transition_coverage*(1-just_transition_exemption)*scenario_base_gdp_drag_multiplier+(B31/base_efficiency_benchmark*base_efficiency_gdp_benefit_at_benchmark*scenario_base_efficiency_realization)+base_anchor_gdp_drag*(just_transition_price/base_anchor_carbon_price)^base_price_response_exponent*just_transition_coverage*(1-just_transition_exemption)*scenario_base_gdp_drag_multiplier*MIN(1,just_transition_recycling/base_revenue_recycling_threshold)*base_recycling_gdp_offset_at_threshold</f>
        <v>-1.9999999999999992E-3</v>
      </c>
      <c r="I31" s="17">
        <f>-base_anchor_gdp_drag*(just_transition_price/base_anchor_carbon_price)^base_price_response_exponent*just_transition_coverage*(1-just_transition_exemption)*scenario_base_gdp_drag_multiplier+(C31/base_efficiency_benchmark*base_efficiency_gdp_benefit_at_benchmark*scenario_base_efficiency_realization)+base_anchor_gdp_drag*(just_transition_price/base_anchor_carbon_price)^base_price_response_exponent*just_transition_coverage*(1-just_transition_exemption)*scenario_base_gdp_drag_multiplier*MIN(1,just_transition_recycling/base_revenue_recycling_threshold)*base_recycling_gdp_offset_at_threshold</f>
        <v>-1E-3</v>
      </c>
      <c r="J31" s="17">
        <f>-base_anchor_gdp_drag*(just_transition_price/base_anchor_carbon_price)^base_price_response_exponent*just_transition_coverage*(1-just_transition_exemption)*scenario_base_gdp_drag_multiplier+(D31/base_efficiency_benchmark*base_efficiency_gdp_benefit_at_benchmark*scenario_base_efficiency_realization)+base_anchor_gdp_drag*(just_transition_price/base_anchor_carbon_price)^base_price_response_exponent*just_transition_coverage*(1-just_transition_exemption)*scenario_base_gdp_drag_multiplier*MIN(1,just_transition_recycling/base_revenue_recycling_threshold)*base_recycling_gdp_offset_at_threshold</f>
        <v>0</v>
      </c>
    </row>
    <row r="32" spans="1:14" x14ac:dyDescent="0.25">
      <c r="A32" t="s">
        <v>178</v>
      </c>
      <c r="B32">
        <f>scenario_base_gdp_drag_multiplier*0.8</f>
        <v>0.8</v>
      </c>
      <c r="C32">
        <f>scenario_base_gdp_drag_multiplier</f>
        <v>1</v>
      </c>
      <c r="D32">
        <f>scenario_base_gdp_drag_multiplier*1.2</f>
        <v>1.2</v>
      </c>
      <c r="E32" s="17">
        <f>(MIN(1,base_anchor_emissions_reduction*(just_transition_price/base_anchor_carbon_price)^base_price_response_exponent*just_transition_coverage*(1-just_transition_exemption)*scenario_base_response_multiplier)+just_transition_efficiency*base_efficiency_to_emissions_pass_through)* (1-just_transition_leakage)</f>
        <v>5.6049999999999996E-2</v>
      </c>
      <c r="F32" s="17">
        <f>(MIN(1,base_anchor_emissions_reduction*(just_transition_price/base_anchor_carbon_price)^base_price_response_exponent*just_transition_coverage*(1-just_transition_exemption)*scenario_base_response_multiplier)+just_transition_efficiency*base_efficiency_to_emissions_pass_through)* (1-just_transition_leakage)</f>
        <v>5.6049999999999996E-2</v>
      </c>
      <c r="G32" s="17">
        <f>(MIN(1,base_anchor_emissions_reduction*(just_transition_price/base_anchor_carbon_price)^base_price_response_exponent*just_transition_coverage*(1-just_transition_exemption)*scenario_base_response_multiplier)+just_transition_efficiency*base_efficiency_to_emissions_pass_through)* (1-just_transition_leakage)</f>
        <v>5.6049999999999996E-2</v>
      </c>
      <c r="H32" s="17">
        <f>-base_anchor_gdp_drag*(just_transition_price/base_anchor_carbon_price)^base_price_response_exponent*just_transition_coverage*(1-just_transition_exemption)*B32+(just_transition_efficiency/base_efficiency_benchmark*base_efficiency_gdp_benefit_at_benchmark*scenario_base_efficiency_realization)+base_anchor_gdp_drag*(just_transition_price/base_anchor_carbon_price)^base_price_response_exponent*just_transition_coverage*(1-just_transition_exemption)*B32*MIN(1,just_transition_recycling/base_revenue_recycling_threshold)*base_recycling_gdp_offset_at_threshold</f>
        <v>1.9999999999999987E-4</v>
      </c>
      <c r="I32" s="17">
        <f>-base_anchor_gdp_drag*(just_transition_price/base_anchor_carbon_price)^base_price_response_exponent*just_transition_coverage*(1-just_transition_exemption)*C32+(just_transition_efficiency/base_efficiency_benchmark*base_efficiency_gdp_benefit_at_benchmark*scenario_base_efficiency_realization)+base_anchor_gdp_drag*(just_transition_price/base_anchor_carbon_price)^base_price_response_exponent*just_transition_coverage*(1-just_transition_exemption)*C32*MIN(1,just_transition_recycling/base_revenue_recycling_threshold)*base_recycling_gdp_offset_at_threshold</f>
        <v>-1E-3</v>
      </c>
      <c r="J32" s="17">
        <f>-base_anchor_gdp_drag*(just_transition_price/base_anchor_carbon_price)^base_price_response_exponent*just_transition_coverage*(1-just_transition_exemption)*D32+(just_transition_efficiency/base_efficiency_benchmark*base_efficiency_gdp_benefit_at_benchmark*scenario_base_efficiency_realization)+base_anchor_gdp_drag*(just_transition_price/base_anchor_carbon_price)^base_price_response_exponent*just_transition_coverage*(1-just_transition_exemption)*D32*MIN(1,just_transition_recycling/base_revenue_recycling_threshold)*base_recycling_gdp_offset_at_threshold</f>
        <v>-2.1999999999999993E-3</v>
      </c>
    </row>
  </sheetData>
  <mergeCells count="5">
    <mergeCell ref="A4:N4"/>
    <mergeCell ref="A2:N2"/>
    <mergeCell ref="A15:N15"/>
    <mergeCell ref="A25:N25"/>
    <mergeCell ref="A1:N1"/>
  </mergeCells>
  <conditionalFormatting sqref="B17:F2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" footer="0.5"/>
  <pageSetup orientation="landscape"/>
  <headerFooter>
    <oddFooter>&amp;CVietnam carbon tax impact simulation | v1.0 | 14 Jul 2026</oddFooter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2C6FA6"/>
    <pageSetUpPr fitToPage="1"/>
  </sheetPr>
  <dimension ref="A1:H9"/>
  <sheetViews>
    <sheetView showGridLines="0" workbookViewId="0">
      <pane ySplit="4" topLeftCell="A5" activePane="bottomLeft" state="frozen"/>
      <selection pane="bottomLeft"/>
    </sheetView>
  </sheetViews>
  <sheetFormatPr defaultRowHeight="15" x14ac:dyDescent="0.25"/>
  <cols>
    <col min="1" max="1" width="8" customWidth="1"/>
    <col min="2" max="2" width="38" customWidth="1"/>
    <col min="3" max="3" width="30" customWidth="1"/>
    <col min="4" max="4" width="16" customWidth="1"/>
    <col min="5" max="5" width="58" customWidth="1"/>
    <col min="6" max="6" width="42" customWidth="1"/>
    <col min="7" max="7" width="13" customWidth="1"/>
    <col min="8" max="8" width="52" customWidth="1"/>
  </cols>
  <sheetData>
    <row r="1" spans="1:8" ht="30" customHeight="1" x14ac:dyDescent="0.25">
      <c r="A1" s="50" t="s">
        <v>285</v>
      </c>
      <c r="B1" s="45"/>
      <c r="C1" s="45"/>
      <c r="D1" s="45"/>
      <c r="E1" s="45"/>
      <c r="F1" s="45"/>
      <c r="G1" s="45"/>
      <c r="H1" s="45"/>
    </row>
    <row r="2" spans="1:8" ht="27.95" customHeight="1" x14ac:dyDescent="0.25">
      <c r="A2" s="46" t="s">
        <v>286</v>
      </c>
      <c r="B2" s="45"/>
      <c r="C2" s="45"/>
      <c r="D2" s="45"/>
      <c r="E2" s="45"/>
      <c r="F2" s="45"/>
      <c r="G2" s="45"/>
      <c r="H2" s="45"/>
    </row>
    <row r="4" spans="1:8" ht="30" customHeight="1" x14ac:dyDescent="0.25">
      <c r="A4" s="4" t="s">
        <v>287</v>
      </c>
      <c r="B4" s="4" t="s">
        <v>288</v>
      </c>
      <c r="C4" s="4" t="s">
        <v>289</v>
      </c>
      <c r="D4" s="4" t="s">
        <v>290</v>
      </c>
      <c r="E4" s="4" t="s">
        <v>291</v>
      </c>
      <c r="F4" s="4" t="s">
        <v>292</v>
      </c>
      <c r="G4" s="4" t="s">
        <v>12</v>
      </c>
      <c r="H4" s="4" t="s">
        <v>293</v>
      </c>
    </row>
    <row r="5" spans="1:8" ht="24" x14ac:dyDescent="0.25">
      <c r="A5" s="26">
        <v>1</v>
      </c>
      <c r="B5" s="13" t="s">
        <v>294</v>
      </c>
      <c r="C5" s="26" t="s">
        <v>295</v>
      </c>
      <c r="D5" s="26" t="s">
        <v>296</v>
      </c>
      <c r="E5" s="41" t="s">
        <v>122</v>
      </c>
      <c r="F5" s="13" t="s">
        <v>297</v>
      </c>
      <c r="G5" s="26" t="s">
        <v>123</v>
      </c>
      <c r="H5" s="13" t="s">
        <v>298</v>
      </c>
    </row>
    <row r="6" spans="1:8" ht="15.75" x14ac:dyDescent="0.25">
      <c r="A6" s="26">
        <v>2</v>
      </c>
      <c r="B6" s="13" t="s">
        <v>155</v>
      </c>
      <c r="C6" s="26" t="s">
        <v>299</v>
      </c>
      <c r="D6" s="26" t="s">
        <v>300</v>
      </c>
      <c r="E6" s="41" t="s">
        <v>108</v>
      </c>
      <c r="F6" s="13" t="s">
        <v>301</v>
      </c>
      <c r="G6" s="26" t="s">
        <v>109</v>
      </c>
      <c r="H6" s="13" t="s">
        <v>302</v>
      </c>
    </row>
    <row r="7" spans="1:8" ht="15.75" x14ac:dyDescent="0.25">
      <c r="A7" s="26">
        <v>3</v>
      </c>
      <c r="B7" s="13" t="s">
        <v>303</v>
      </c>
      <c r="C7" s="26" t="s">
        <v>304</v>
      </c>
      <c r="D7" s="26" t="s">
        <v>305</v>
      </c>
      <c r="E7" s="41" t="s">
        <v>116</v>
      </c>
      <c r="F7" s="13" t="s">
        <v>112</v>
      </c>
      <c r="G7" s="26" t="s">
        <v>109</v>
      </c>
      <c r="H7" s="13" t="s">
        <v>306</v>
      </c>
    </row>
    <row r="8" spans="1:8" ht="15.75" x14ac:dyDescent="0.25">
      <c r="A8" s="26">
        <v>4</v>
      </c>
      <c r="B8" s="13" t="s">
        <v>307</v>
      </c>
      <c r="C8" s="26" t="s">
        <v>304</v>
      </c>
      <c r="D8" s="26" t="s">
        <v>308</v>
      </c>
      <c r="E8" s="41" t="s">
        <v>309</v>
      </c>
      <c r="F8" s="13" t="s">
        <v>310</v>
      </c>
      <c r="G8" s="26" t="s">
        <v>109</v>
      </c>
      <c r="H8" s="13" t="s">
        <v>311</v>
      </c>
    </row>
    <row r="9" spans="1:8" ht="24" x14ac:dyDescent="0.25">
      <c r="A9" s="26">
        <v>5</v>
      </c>
      <c r="B9" s="13" t="s">
        <v>312</v>
      </c>
      <c r="C9" s="26" t="s">
        <v>313</v>
      </c>
      <c r="D9" s="26" t="s">
        <v>314</v>
      </c>
      <c r="E9" s="41" t="s">
        <v>315</v>
      </c>
      <c r="F9" s="13" t="s">
        <v>316</v>
      </c>
      <c r="G9" s="26" t="s">
        <v>109</v>
      </c>
      <c r="H9" s="13" t="s">
        <v>317</v>
      </c>
    </row>
  </sheetData>
  <mergeCells count="2">
    <mergeCell ref="A2:H2"/>
    <mergeCell ref="A1:H1"/>
  </mergeCells>
  <hyperlinks>
    <hyperlink ref="E5" r:id="rId1" xr:uid="{00000000-0004-0000-0A00-000000000000}"/>
    <hyperlink ref="E6" r:id="rId2" xr:uid="{00000000-0004-0000-0A00-000001000000}"/>
    <hyperlink ref="E7" r:id="rId3" xr:uid="{00000000-0004-0000-0A00-000002000000}"/>
    <hyperlink ref="E8" r:id="rId4" xr:uid="{00000000-0004-0000-0A00-000003000000}"/>
    <hyperlink ref="E9" r:id="rId5" xr:uid="{00000000-0004-0000-0A00-000004000000}"/>
  </hyperlinks>
  <pageMargins left="0.75" right="0.75" top="1" bottom="1" header="0.5" footer="0.5"/>
  <pageSetup orientation="landscape"/>
  <headerFooter>
    <oddFooter>&amp;CVietnam carbon tax impact simulation | v1.0 | 14 Jul 2026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2C6FA6"/>
    <pageSetUpPr fitToPage="1"/>
  </sheetPr>
  <dimension ref="A1:J35"/>
  <sheetViews>
    <sheetView showGridLines="0" workbookViewId="0">
      <pane ySplit="3" topLeftCell="A4" activePane="bottomLeft" state="frozen"/>
      <selection pane="bottomLeft"/>
    </sheetView>
  </sheetViews>
  <sheetFormatPr defaultRowHeight="15" x14ac:dyDescent="0.25"/>
  <cols>
    <col min="1" max="1" width="22" customWidth="1"/>
    <col min="2" max="2" width="16" customWidth="1"/>
    <col min="3" max="3" width="54" customWidth="1"/>
    <col min="4" max="4" width="18" customWidth="1"/>
    <col min="5" max="10" width="14" customWidth="1"/>
  </cols>
  <sheetData>
    <row r="1" spans="1:10" ht="30" customHeight="1" x14ac:dyDescent="0.25">
      <c r="A1" s="50" t="s">
        <v>318</v>
      </c>
      <c r="B1" s="45"/>
      <c r="C1" s="45"/>
      <c r="D1" s="45"/>
      <c r="E1" s="45"/>
      <c r="F1" s="45"/>
      <c r="G1" s="45"/>
      <c r="H1" s="45"/>
      <c r="I1" s="45"/>
      <c r="J1" s="45"/>
    </row>
    <row r="2" spans="1:10" ht="27.95" customHeight="1" x14ac:dyDescent="0.25">
      <c r="A2" s="46" t="s">
        <v>319</v>
      </c>
      <c r="B2" s="45"/>
      <c r="C2" s="45"/>
      <c r="D2" s="45"/>
      <c r="E2" s="45"/>
      <c r="F2" s="45"/>
      <c r="G2" s="45"/>
      <c r="H2" s="45"/>
      <c r="I2" s="45"/>
      <c r="J2" s="45"/>
    </row>
    <row r="4" spans="1:10" ht="20.100000000000001" customHeight="1" x14ac:dyDescent="0.25">
      <c r="A4" s="49" t="s">
        <v>320</v>
      </c>
      <c r="B4" s="45"/>
      <c r="C4" s="45"/>
      <c r="D4" s="45"/>
      <c r="E4" s="45"/>
      <c r="F4" s="45"/>
      <c r="G4" s="45"/>
      <c r="H4" s="45"/>
      <c r="I4" s="45"/>
      <c r="J4" s="45"/>
    </row>
    <row r="5" spans="1:10" ht="24" customHeight="1" x14ac:dyDescent="0.25">
      <c r="A5" s="52" t="s">
        <v>321</v>
      </c>
      <c r="B5" s="45"/>
      <c r="C5" s="45"/>
      <c r="D5" s="45"/>
      <c r="E5" s="45"/>
      <c r="F5" s="45"/>
      <c r="G5" s="45"/>
      <c r="H5" s="45"/>
      <c r="I5" s="45"/>
      <c r="J5" s="45"/>
    </row>
    <row r="6" spans="1:10" ht="24" customHeight="1" x14ac:dyDescent="0.25">
      <c r="A6" s="52" t="s">
        <v>322</v>
      </c>
      <c r="B6" s="45"/>
      <c r="C6" s="45"/>
      <c r="D6" s="45"/>
      <c r="E6" s="45"/>
      <c r="F6" s="45"/>
      <c r="G6" s="45"/>
      <c r="H6" s="45"/>
      <c r="I6" s="45"/>
      <c r="J6" s="45"/>
    </row>
    <row r="7" spans="1:10" ht="24" customHeight="1" x14ac:dyDescent="0.25">
      <c r="A7" s="52" t="s">
        <v>323</v>
      </c>
      <c r="B7" s="45"/>
      <c r="C7" s="45"/>
      <c r="D7" s="45"/>
      <c r="E7" s="45"/>
      <c r="F7" s="45"/>
      <c r="G7" s="45"/>
      <c r="H7" s="45"/>
      <c r="I7" s="45"/>
      <c r="J7" s="45"/>
    </row>
    <row r="8" spans="1:10" ht="24" customHeight="1" x14ac:dyDescent="0.25">
      <c r="A8" s="52" t="s">
        <v>324</v>
      </c>
      <c r="B8" s="45"/>
      <c r="C8" s="45"/>
      <c r="D8" s="45"/>
      <c r="E8" s="45"/>
      <c r="F8" s="45"/>
      <c r="G8" s="45"/>
      <c r="H8" s="45"/>
      <c r="I8" s="45"/>
      <c r="J8" s="45"/>
    </row>
    <row r="9" spans="1:10" ht="24" customHeight="1" x14ac:dyDescent="0.25">
      <c r="A9" s="52" t="s">
        <v>325</v>
      </c>
      <c r="B9" s="45"/>
      <c r="C9" s="45"/>
      <c r="D9" s="45"/>
      <c r="E9" s="45"/>
      <c r="F9" s="45"/>
      <c r="G9" s="45"/>
      <c r="H9" s="45"/>
      <c r="I9" s="45"/>
      <c r="J9" s="45"/>
    </row>
    <row r="12" spans="1:10" ht="20.100000000000001" customHeight="1" x14ac:dyDescent="0.25">
      <c r="A12" s="49" t="s">
        <v>326</v>
      </c>
      <c r="B12" s="45"/>
      <c r="C12" s="45"/>
      <c r="D12" s="45"/>
      <c r="E12" s="45"/>
      <c r="F12" s="45"/>
      <c r="G12" s="45"/>
      <c r="H12" s="45"/>
      <c r="I12" s="45"/>
      <c r="J12" s="45"/>
    </row>
    <row r="13" spans="1:10" ht="24" customHeight="1" x14ac:dyDescent="0.25">
      <c r="A13" s="52" t="s">
        <v>327</v>
      </c>
      <c r="B13" s="45"/>
      <c r="C13" s="45"/>
      <c r="D13" s="45"/>
      <c r="E13" s="45"/>
      <c r="F13" s="45"/>
      <c r="G13" s="45"/>
      <c r="H13" s="45"/>
      <c r="I13" s="45"/>
      <c r="J13" s="45"/>
    </row>
    <row r="14" spans="1:10" ht="24" customHeight="1" x14ac:dyDescent="0.25">
      <c r="A14" s="52" t="s">
        <v>328</v>
      </c>
      <c r="B14" s="45"/>
      <c r="C14" s="45"/>
      <c r="D14" s="45"/>
      <c r="E14" s="45"/>
      <c r="F14" s="45"/>
      <c r="G14" s="45"/>
      <c r="H14" s="45"/>
      <c r="I14" s="45"/>
      <c r="J14" s="45"/>
    </row>
    <row r="15" spans="1:10" ht="24" customHeight="1" x14ac:dyDescent="0.25">
      <c r="A15" s="52" t="s">
        <v>329</v>
      </c>
      <c r="B15" s="45"/>
      <c r="C15" s="45"/>
      <c r="D15" s="45"/>
      <c r="E15" s="45"/>
      <c r="F15" s="45"/>
      <c r="G15" s="45"/>
      <c r="H15" s="45"/>
      <c r="I15" s="45"/>
      <c r="J15" s="45"/>
    </row>
    <row r="16" spans="1:10" ht="24" customHeight="1" x14ac:dyDescent="0.25">
      <c r="A16" s="52" t="s">
        <v>330</v>
      </c>
      <c r="B16" s="45"/>
      <c r="C16" s="45"/>
      <c r="D16" s="45"/>
      <c r="E16" s="45"/>
      <c r="F16" s="45"/>
      <c r="G16" s="45"/>
      <c r="H16" s="45"/>
      <c r="I16" s="45"/>
      <c r="J16" s="45"/>
    </row>
    <row r="19" spans="1:10" ht="20.100000000000001" customHeight="1" x14ac:dyDescent="0.25">
      <c r="A19" s="49" t="s">
        <v>331</v>
      </c>
      <c r="B19" s="45"/>
      <c r="C19" s="45"/>
      <c r="D19" s="45"/>
      <c r="E19" s="45"/>
      <c r="F19" s="45"/>
      <c r="G19" s="45"/>
      <c r="H19" s="45"/>
      <c r="I19" s="45"/>
      <c r="J19" s="45"/>
    </row>
    <row r="20" spans="1:10" ht="24" customHeight="1" x14ac:dyDescent="0.25">
      <c r="A20" s="52" t="s">
        <v>332</v>
      </c>
      <c r="B20" s="45"/>
      <c r="C20" s="45"/>
      <c r="D20" s="45"/>
      <c r="E20" s="45"/>
      <c r="F20" s="45"/>
      <c r="G20" s="45"/>
      <c r="H20" s="45"/>
      <c r="I20" s="45"/>
      <c r="J20" s="45"/>
    </row>
    <row r="21" spans="1:10" ht="24" customHeight="1" x14ac:dyDescent="0.25">
      <c r="A21" s="52" t="s">
        <v>333</v>
      </c>
      <c r="B21" s="45"/>
      <c r="C21" s="45"/>
      <c r="D21" s="45"/>
      <c r="E21" s="45"/>
      <c r="F21" s="45"/>
      <c r="G21" s="45"/>
      <c r="H21" s="45"/>
      <c r="I21" s="45"/>
      <c r="J21" s="45"/>
    </row>
    <row r="22" spans="1:10" ht="24" customHeight="1" x14ac:dyDescent="0.25">
      <c r="A22" s="52" t="s">
        <v>334</v>
      </c>
      <c r="B22" s="45"/>
      <c r="C22" s="45"/>
      <c r="D22" s="45"/>
      <c r="E22" s="45"/>
      <c r="F22" s="45"/>
      <c r="G22" s="45"/>
      <c r="H22" s="45"/>
      <c r="I22" s="45"/>
      <c r="J22" s="45"/>
    </row>
    <row r="23" spans="1:10" ht="24" customHeight="1" x14ac:dyDescent="0.25">
      <c r="A23" s="52" t="s">
        <v>335</v>
      </c>
      <c r="B23" s="45"/>
      <c r="C23" s="45"/>
      <c r="D23" s="45"/>
      <c r="E23" s="45"/>
      <c r="F23" s="45"/>
      <c r="G23" s="45"/>
      <c r="H23" s="45"/>
      <c r="I23" s="45"/>
      <c r="J23" s="45"/>
    </row>
    <row r="24" spans="1:10" ht="24" customHeight="1" x14ac:dyDescent="0.25">
      <c r="A24" s="52" t="s">
        <v>336</v>
      </c>
      <c r="B24" s="45"/>
      <c r="C24" s="45"/>
      <c r="D24" s="45"/>
      <c r="E24" s="45"/>
      <c r="F24" s="45"/>
      <c r="G24" s="45"/>
      <c r="H24" s="45"/>
      <c r="I24" s="45"/>
      <c r="J24" s="45"/>
    </row>
    <row r="27" spans="1:10" ht="20.100000000000001" customHeight="1" x14ac:dyDescent="0.25">
      <c r="A27" s="49" t="s">
        <v>337</v>
      </c>
      <c r="B27" s="45"/>
      <c r="C27" s="45"/>
      <c r="D27" s="45"/>
      <c r="E27" s="45"/>
      <c r="F27" s="45"/>
      <c r="G27" s="45"/>
      <c r="H27" s="45"/>
      <c r="I27" s="45"/>
      <c r="J27" s="45"/>
    </row>
    <row r="28" spans="1:10" ht="24" customHeight="1" x14ac:dyDescent="0.25">
      <c r="A28" s="52" t="s">
        <v>338</v>
      </c>
      <c r="B28" s="45"/>
      <c r="C28" s="45"/>
      <c r="D28" s="45"/>
      <c r="E28" s="45"/>
      <c r="F28" s="45"/>
      <c r="G28" s="45"/>
      <c r="H28" s="45"/>
      <c r="I28" s="45"/>
      <c r="J28" s="45"/>
    </row>
    <row r="29" spans="1:10" ht="24" customHeight="1" x14ac:dyDescent="0.25">
      <c r="A29" s="52" t="s">
        <v>339</v>
      </c>
      <c r="B29" s="45"/>
      <c r="C29" s="45"/>
      <c r="D29" s="45"/>
      <c r="E29" s="45"/>
      <c r="F29" s="45"/>
      <c r="G29" s="45"/>
      <c r="H29" s="45"/>
      <c r="I29" s="45"/>
      <c r="J29" s="45"/>
    </row>
    <row r="33" spans="1:10" ht="20.100000000000001" customHeight="1" x14ac:dyDescent="0.25">
      <c r="A33" s="49" t="s">
        <v>340</v>
      </c>
      <c r="B33" s="45"/>
      <c r="C33" s="45"/>
      <c r="D33" s="45"/>
      <c r="E33" s="45"/>
      <c r="F33" s="45"/>
      <c r="G33" s="45"/>
      <c r="H33" s="45"/>
      <c r="I33" s="45"/>
      <c r="J33" s="45"/>
    </row>
    <row r="34" spans="1:10" ht="30" customHeight="1" x14ac:dyDescent="0.25">
      <c r="A34" s="4" t="s">
        <v>341</v>
      </c>
      <c r="B34" s="4" t="s">
        <v>342</v>
      </c>
      <c r="C34" s="4" t="s">
        <v>343</v>
      </c>
      <c r="D34" s="4" t="s">
        <v>344</v>
      </c>
    </row>
    <row r="35" spans="1:10" x14ac:dyDescent="0.25">
      <c r="A35" t="s">
        <v>345</v>
      </c>
      <c r="B35" s="42">
        <v>46217</v>
      </c>
      <c r="C35" t="s">
        <v>346</v>
      </c>
      <c r="D35" t="s">
        <v>347</v>
      </c>
    </row>
  </sheetData>
  <mergeCells count="23">
    <mergeCell ref="A33:J33"/>
    <mergeCell ref="A1:J1"/>
    <mergeCell ref="A6:J6"/>
    <mergeCell ref="A7:J7"/>
    <mergeCell ref="A16:J16"/>
    <mergeCell ref="A27:J27"/>
    <mergeCell ref="A21:J21"/>
    <mergeCell ref="A12:J12"/>
    <mergeCell ref="A2:J2"/>
    <mergeCell ref="A29:J29"/>
    <mergeCell ref="A4:J4"/>
    <mergeCell ref="A20:J20"/>
    <mergeCell ref="A28:J28"/>
    <mergeCell ref="A19:J19"/>
    <mergeCell ref="A13:J13"/>
    <mergeCell ref="A9:J9"/>
    <mergeCell ref="A15:J15"/>
    <mergeCell ref="A24:J24"/>
    <mergeCell ref="A5:J5"/>
    <mergeCell ref="A23:J23"/>
    <mergeCell ref="A8:J8"/>
    <mergeCell ref="A14:J14"/>
    <mergeCell ref="A22:J22"/>
  </mergeCells>
  <pageMargins left="0.75" right="0.75" top="1" bottom="1" header="0.5" footer="0.5"/>
  <pageSetup orientation="landscape"/>
  <headerFooter>
    <oddFooter>&amp;CVietnam carbon tax impact simulation | v1.0 | 14 Jul 2026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2C6FA6"/>
    <pageSetUpPr fitToPage="1"/>
  </sheetPr>
  <dimension ref="A1:J12"/>
  <sheetViews>
    <sheetView showGridLines="0" workbookViewId="0">
      <pane xSplit="1" ySplit="4" topLeftCell="B5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24" customWidth="1"/>
    <col min="2" max="3" width="18" customWidth="1"/>
    <col min="4" max="4" width="17" customWidth="1"/>
    <col min="5" max="5" width="19" customWidth="1"/>
    <col min="6" max="7" width="20" customWidth="1"/>
    <col min="8" max="8" width="22" customWidth="1"/>
    <col min="9" max="9" width="52" customWidth="1"/>
  </cols>
  <sheetData>
    <row r="1" spans="1:10" ht="30" customHeight="1" x14ac:dyDescent="0.25">
      <c r="A1" s="50" t="s">
        <v>348</v>
      </c>
      <c r="B1" s="45"/>
      <c r="C1" s="45"/>
      <c r="D1" s="45"/>
      <c r="E1" s="45"/>
      <c r="F1" s="45"/>
      <c r="G1" s="45"/>
      <c r="H1" s="45"/>
      <c r="I1" s="45"/>
      <c r="J1" s="45"/>
    </row>
    <row r="2" spans="1:10" ht="27.95" customHeight="1" x14ac:dyDescent="0.25">
      <c r="A2" s="46" t="s">
        <v>349</v>
      </c>
      <c r="B2" s="45"/>
      <c r="C2" s="45"/>
      <c r="D2" s="45"/>
      <c r="E2" s="45"/>
      <c r="F2" s="45"/>
      <c r="G2" s="45"/>
      <c r="H2" s="45"/>
      <c r="I2" s="45"/>
      <c r="J2" s="45"/>
    </row>
    <row r="4" spans="1:10" ht="30" customHeight="1" x14ac:dyDescent="0.25">
      <c r="A4" s="4" t="s">
        <v>350</v>
      </c>
      <c r="B4" s="4" t="s">
        <v>351</v>
      </c>
      <c r="C4" s="4" t="s">
        <v>352</v>
      </c>
      <c r="D4" s="4" t="s">
        <v>353</v>
      </c>
      <c r="E4" s="4" t="s">
        <v>354</v>
      </c>
      <c r="F4" s="4" t="s">
        <v>355</v>
      </c>
      <c r="G4" s="4" t="s">
        <v>356</v>
      </c>
      <c r="H4" s="4" t="s">
        <v>357</v>
      </c>
      <c r="I4" s="4" t="s">
        <v>358</v>
      </c>
    </row>
    <row r="5" spans="1:10" x14ac:dyDescent="0.25">
      <c r="A5" t="s">
        <v>359</v>
      </c>
      <c r="B5" s="18">
        <v>678.4</v>
      </c>
      <c r="C5" s="17">
        <f>B5/SUM($B$5:$B$8)</f>
        <v>0.69429945757854883</v>
      </c>
      <c r="D5" s="43">
        <v>1.2</v>
      </c>
      <c r="E5" s="17">
        <f>B5*D5/SUMPRODUCT($B$5:$B$8,$D$5:$D$8)</f>
        <v>0.8280744583460482</v>
      </c>
      <c r="F5" s="18">
        <f>just_transition_base_emissions_reduction_mt*E5</f>
        <v>43.067154748855657</v>
      </c>
      <c r="G5" s="18">
        <f>B5-F5</f>
        <v>635.33284525114436</v>
      </c>
      <c r="H5" s="18">
        <f>G5*just_transition_price*just_transition_coverage*(1-just_transition_exemption)/1000</f>
        <v>9.5299926787671652</v>
      </c>
      <c r="I5" s="20" t="s">
        <v>360</v>
      </c>
    </row>
    <row r="6" spans="1:10" ht="30" x14ac:dyDescent="0.25">
      <c r="A6" t="s">
        <v>361</v>
      </c>
      <c r="B6" s="18">
        <v>112.1</v>
      </c>
      <c r="C6" s="17">
        <f>B6/SUM($B$5:$B$8)</f>
        <v>0.11472725411933272</v>
      </c>
      <c r="D6" s="43">
        <v>0.3</v>
      </c>
      <c r="E6" s="17">
        <f>B6*D6/SUMPRODUCT($B$5:$B$8,$D$5:$D$8)</f>
        <v>3.4208117180347879E-2</v>
      </c>
      <c r="F6" s="18">
        <f>just_transition_base_emissions_reduction_mt*E6</f>
        <v>1.7791229537686906</v>
      </c>
      <c r="G6" s="18">
        <f>B6-F6</f>
        <v>110.3208770462313</v>
      </c>
      <c r="H6" s="18">
        <f>G6*just_transition_price*just_transition_coverage*(1-just_transition_exemption)/1000</f>
        <v>1.6548131556934695</v>
      </c>
      <c r="I6" s="20" t="s">
        <v>362</v>
      </c>
    </row>
    <row r="7" spans="1:10" ht="30" x14ac:dyDescent="0.25">
      <c r="A7" t="s">
        <v>363</v>
      </c>
      <c r="B7" s="18">
        <v>46.3</v>
      </c>
      <c r="C7" s="17">
        <f>B7/SUM($B$5:$B$8)</f>
        <v>4.7385119230375604E-2</v>
      </c>
      <c r="D7" s="43">
        <v>0.5</v>
      </c>
      <c r="E7" s="17">
        <f>B7*D7/SUMPRODUCT($B$5:$B$8,$D$5:$D$8)</f>
        <v>2.3547960533007832E-2</v>
      </c>
      <c r="F7" s="18">
        <f>just_transition_base_emissions_reduction_mt*E7</f>
        <v>1.2247010520292949</v>
      </c>
      <c r="G7" s="18">
        <f>B7-F7</f>
        <v>45.075298947970701</v>
      </c>
      <c r="H7" s="18">
        <f>G7*just_transition_price*just_transition_coverage*(1-just_transition_exemption)/1000</f>
        <v>0.67612948421956043</v>
      </c>
      <c r="I7" s="20" t="s">
        <v>364</v>
      </c>
    </row>
    <row r="8" spans="1:10" x14ac:dyDescent="0.25">
      <c r="A8" t="s">
        <v>365</v>
      </c>
      <c r="B8" s="18">
        <v>140.30000000000001</v>
      </c>
      <c r="C8" s="17">
        <f>B8/SUM($B$5:$B$8)</f>
        <v>0.14358816907174293</v>
      </c>
      <c r="D8" s="43">
        <v>0.8</v>
      </c>
      <c r="E8" s="17">
        <f>B8*D8/SUMPRODUCT($B$5:$B$8,$D$5:$D$8)</f>
        <v>0.1141694639405961</v>
      </c>
      <c r="F8" s="18">
        <f>just_transition_base_emissions_reduction_mt*E8</f>
        <v>5.9378162453463537</v>
      </c>
      <c r="G8" s="18">
        <f>B8-F8</f>
        <v>134.36218375465367</v>
      </c>
      <c r="H8" s="18">
        <f>G8*just_transition_price*just_transition_coverage*(1-just_transition_exemption)/1000</f>
        <v>2.0154327563198051</v>
      </c>
      <c r="I8" s="20" t="s">
        <v>366</v>
      </c>
    </row>
    <row r="10" spans="1:10" x14ac:dyDescent="0.25">
      <c r="A10" t="s">
        <v>367</v>
      </c>
      <c r="B10" s="38">
        <f>SUM(B5:B8)</f>
        <v>977.09999999999991</v>
      </c>
      <c r="C10" s="38">
        <f>SUM(C5:C8)</f>
        <v>1</v>
      </c>
      <c r="E10" s="38">
        <f>SUM(E5:E8)</f>
        <v>1</v>
      </c>
      <c r="F10" s="38">
        <f>SUM(F5:F8)</f>
        <v>52.008794999999999</v>
      </c>
      <c r="G10" s="38">
        <f>SUM(G5:G8)</f>
        <v>925.09120500000006</v>
      </c>
      <c r="H10" s="38">
        <f>SUM(H5:H8)</f>
        <v>13.876368075</v>
      </c>
    </row>
    <row r="12" spans="1:10" x14ac:dyDescent="0.25">
      <c r="A12" t="s">
        <v>368</v>
      </c>
      <c r="B12" s="53" t="s">
        <v>369</v>
      </c>
      <c r="C12" s="45"/>
      <c r="D12" s="45"/>
      <c r="E12" s="45"/>
      <c r="F12" s="45"/>
      <c r="G12" s="45"/>
      <c r="H12" s="45"/>
      <c r="I12" s="45"/>
    </row>
  </sheetData>
  <mergeCells count="3">
    <mergeCell ref="B12:I12"/>
    <mergeCell ref="A1:J1"/>
    <mergeCell ref="A2:J2"/>
  </mergeCells>
  <pageMargins left="0.75" right="0.75" top="1" bottom="1" header="0.5" footer="0.5"/>
  <pageSetup orientation="landscape"/>
  <headerFooter>
    <oddFooter>&amp;CVietnam carbon tax impact simulation | v1.0 | 14 Jul 2026</oddFooter>
  </headerFooter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350</vt:i4>
      </vt:variant>
    </vt:vector>
  </HeadingPairs>
  <TitlesOfParts>
    <vt:vector size="363" baseType="lpstr">
      <vt:lpstr>Cover</vt:lpstr>
      <vt:lpstr>Executive Summary</vt:lpstr>
      <vt:lpstr>Scenario Comparison</vt:lpstr>
      <vt:lpstr>Decision Matrix</vt:lpstr>
      <vt:lpstr>Assumptions Log</vt:lpstr>
      <vt:lpstr>Revenue Build-Up</vt:lpstr>
      <vt:lpstr>Cost &amp; Investment</vt:lpstr>
      <vt:lpstr>P&amp;L Waterfall</vt:lpstr>
      <vt:lpstr>ROI &amp; Payback</vt:lpstr>
      <vt:lpstr>Sensitivity Analysis</vt:lpstr>
      <vt:lpstr>Data Sources</vt:lpstr>
      <vt:lpstr>Methodology Notes</vt:lpstr>
      <vt:lpstr>Sector Incidence</vt:lpstr>
      <vt:lpstr>accelerated_base_carbon_gdp_drag_pct</vt:lpstr>
      <vt:lpstr>accelerated_base_efficiency_gdp_benefit_pct</vt:lpstr>
      <vt:lpstr>accelerated_base_emissions_reduction_mt</vt:lpstr>
      <vt:lpstr>accelerated_base_emissions_reduction_pct</vt:lpstr>
      <vt:lpstr>accelerated_base_fiscal_revenue_per_t_abated</vt:lpstr>
      <vt:lpstr>accelerated_base_government_revenue_index_pct</vt:lpstr>
      <vt:lpstr>accelerated_base_gross_fiscal_revenue_bn</vt:lpstr>
      <vt:lpstr>accelerated_base_household_compensation_pct</vt:lpstr>
      <vt:lpstr>accelerated_base_investment_impact_pct</vt:lpstr>
      <vt:lpstr>accelerated_base_ndc_progress_pct</vt:lpstr>
      <vt:lpstr>accelerated_base_net_budget_revenue_bn</vt:lpstr>
      <vt:lpstr>accelerated_base_net_fiscal_revenue_bn</vt:lpstr>
      <vt:lpstr>accelerated_base_net_gdp_impact_bn</vt:lpstr>
      <vt:lpstr>accelerated_base_net_gdp_impact_pct</vt:lpstr>
      <vt:lpstr>accelerated_base_recycled_revenue_bn</vt:lpstr>
      <vt:lpstr>accelerated_base_recycling_gdp_offset_pct</vt:lpstr>
      <vt:lpstr>accelerated_base_residual_emissions_mt</vt:lpstr>
      <vt:lpstr>accelerated_base_trade_impact_pct</vt:lpstr>
      <vt:lpstr>accelerated_bear_emissions_reduction_mt</vt:lpstr>
      <vt:lpstr>accelerated_bear_emissions_reduction_pct</vt:lpstr>
      <vt:lpstr>accelerated_bear_fiscal_revenue_per_t_abated</vt:lpstr>
      <vt:lpstr>accelerated_bear_government_revenue_index_pct</vt:lpstr>
      <vt:lpstr>accelerated_bear_gross_fiscal_revenue_bn</vt:lpstr>
      <vt:lpstr>accelerated_bear_household_compensation_pct</vt:lpstr>
      <vt:lpstr>accelerated_bear_investment_impact_pct</vt:lpstr>
      <vt:lpstr>accelerated_bear_ndc_progress_pct</vt:lpstr>
      <vt:lpstr>accelerated_bear_net_budget_revenue_bn</vt:lpstr>
      <vt:lpstr>accelerated_bear_net_fiscal_revenue_bn</vt:lpstr>
      <vt:lpstr>accelerated_bear_net_gdp_impact_bn</vt:lpstr>
      <vt:lpstr>accelerated_bear_net_gdp_impact_pct</vt:lpstr>
      <vt:lpstr>accelerated_bear_recycled_revenue_bn</vt:lpstr>
      <vt:lpstr>accelerated_bear_residual_emissions_mt</vt:lpstr>
      <vt:lpstr>accelerated_bear_trade_impact_pct</vt:lpstr>
      <vt:lpstr>accelerated_bull_emissions_reduction_mt</vt:lpstr>
      <vt:lpstr>accelerated_bull_emissions_reduction_pct</vt:lpstr>
      <vt:lpstr>accelerated_bull_fiscal_revenue_per_t_abated</vt:lpstr>
      <vt:lpstr>accelerated_bull_government_revenue_index_pct</vt:lpstr>
      <vt:lpstr>accelerated_bull_gross_fiscal_revenue_bn</vt:lpstr>
      <vt:lpstr>accelerated_bull_household_compensation_pct</vt:lpstr>
      <vt:lpstr>accelerated_bull_investment_impact_pct</vt:lpstr>
      <vt:lpstr>accelerated_bull_ndc_progress_pct</vt:lpstr>
      <vt:lpstr>accelerated_bull_net_budget_revenue_bn</vt:lpstr>
      <vt:lpstr>accelerated_bull_net_fiscal_revenue_bn</vt:lpstr>
      <vt:lpstr>accelerated_bull_net_gdp_impact_bn</vt:lpstr>
      <vt:lpstr>accelerated_bull_net_gdp_impact_pct</vt:lpstr>
      <vt:lpstr>accelerated_bull_recycled_revenue_bn</vt:lpstr>
      <vt:lpstr>accelerated_bull_residual_emissions_mt</vt:lpstr>
      <vt:lpstr>accelerated_bull_trade_impact_pct</vt:lpstr>
      <vt:lpstr>accelerated_collection</vt:lpstr>
      <vt:lpstr>accelerated_coverage</vt:lpstr>
      <vt:lpstr>accelerated_efficiency</vt:lpstr>
      <vt:lpstr>accelerated_exemption</vt:lpstr>
      <vt:lpstr>accelerated_feasibility</vt:lpstr>
      <vt:lpstr>accelerated_leakage</vt:lpstr>
      <vt:lpstr>accelerated_price</vt:lpstr>
      <vt:lpstr>accelerated_recycling</vt:lpstr>
      <vt:lpstr>base_anchor_carbon_price</vt:lpstr>
      <vt:lpstr>base_anchor_emissions_reduction</vt:lpstr>
      <vt:lpstr>base_anchor_gdp_drag</vt:lpstr>
      <vt:lpstr>base_anchor_government_revenue_index_uplift</vt:lpstr>
      <vt:lpstr>base_anchor_investment_drag</vt:lpstr>
      <vt:lpstr>base_anchor_trade_drag</vt:lpstr>
      <vt:lpstr>base_baseline_ghg_emissions</vt:lpstr>
      <vt:lpstr>base_bottom_households_potentially_compensated</vt:lpstr>
      <vt:lpstr>base_efficiency_benchmark</vt:lpstr>
      <vt:lpstr>base_efficiency_gdp_benefit_at_benchmark</vt:lpstr>
      <vt:lpstr>base_efficiency_to_emissions_pass_through</vt:lpstr>
      <vt:lpstr>base_ndc_conditional_reduction</vt:lpstr>
      <vt:lpstr>base_ndc_unconditional_reduction</vt:lpstr>
      <vt:lpstr>base_pilot_annual_emissions_quota</vt:lpstr>
      <vt:lpstr>base_price_response_exponent</vt:lpstr>
      <vt:lpstr>base_recycling_gdp_offset_at_threshold</vt:lpstr>
      <vt:lpstr>base_reference_nominal_gdp</vt:lpstr>
      <vt:lpstr>base_revenue_recycling_threshold</vt:lpstr>
      <vt:lpstr>bear_anchor_carbon_price</vt:lpstr>
      <vt:lpstr>bear_anchor_emissions_reduction</vt:lpstr>
      <vt:lpstr>bear_anchor_gdp_drag</vt:lpstr>
      <vt:lpstr>bear_anchor_government_revenue_index_uplift</vt:lpstr>
      <vt:lpstr>bear_anchor_investment_drag</vt:lpstr>
      <vt:lpstr>bear_anchor_trade_drag</vt:lpstr>
      <vt:lpstr>bear_baseline_ghg_emissions</vt:lpstr>
      <vt:lpstr>bear_bottom_households_potentially_compensated</vt:lpstr>
      <vt:lpstr>bear_efficiency_benchmark</vt:lpstr>
      <vt:lpstr>bear_efficiency_gdp_benefit_at_benchmark</vt:lpstr>
      <vt:lpstr>bear_efficiency_to_emissions_pass_through</vt:lpstr>
      <vt:lpstr>bear_ndc_conditional_reduction</vt:lpstr>
      <vt:lpstr>bear_ndc_unconditional_reduction</vt:lpstr>
      <vt:lpstr>bear_pilot_annual_emissions_quota</vt:lpstr>
      <vt:lpstr>bear_price_response_exponent</vt:lpstr>
      <vt:lpstr>bear_recycling_gdp_offset_at_threshold</vt:lpstr>
      <vt:lpstr>bear_reference_nominal_gdp</vt:lpstr>
      <vt:lpstr>bear_revenue_recycling_threshold</vt:lpstr>
      <vt:lpstr>bull_anchor_carbon_price</vt:lpstr>
      <vt:lpstr>bull_anchor_emissions_reduction</vt:lpstr>
      <vt:lpstr>bull_anchor_gdp_drag</vt:lpstr>
      <vt:lpstr>bull_anchor_government_revenue_index_uplift</vt:lpstr>
      <vt:lpstr>bull_anchor_investment_drag</vt:lpstr>
      <vt:lpstr>bull_anchor_trade_drag</vt:lpstr>
      <vt:lpstr>bull_baseline_ghg_emissions</vt:lpstr>
      <vt:lpstr>bull_bottom_households_potentially_compensated</vt:lpstr>
      <vt:lpstr>bull_efficiency_benchmark</vt:lpstr>
      <vt:lpstr>bull_efficiency_gdp_benefit_at_benchmark</vt:lpstr>
      <vt:lpstr>bull_efficiency_to_emissions_pass_through</vt:lpstr>
      <vt:lpstr>bull_ndc_conditional_reduction</vt:lpstr>
      <vt:lpstr>bull_ndc_unconditional_reduction</vt:lpstr>
      <vt:lpstr>bull_pilot_annual_emissions_quota</vt:lpstr>
      <vt:lpstr>bull_price_response_exponent</vt:lpstr>
      <vt:lpstr>bull_recycling_gdp_offset_at_threshold</vt:lpstr>
      <vt:lpstr>bull_reference_nominal_gdp</vt:lpstr>
      <vt:lpstr>bull_revenue_recycling_threshold</vt:lpstr>
      <vt:lpstr>just_transition_base_carbon_gdp_drag_pct</vt:lpstr>
      <vt:lpstr>just_transition_base_efficiency_gdp_benefit_pct</vt:lpstr>
      <vt:lpstr>just_transition_base_emissions_reduction_mt</vt:lpstr>
      <vt:lpstr>just_transition_base_emissions_reduction_pct</vt:lpstr>
      <vt:lpstr>just_transition_base_fiscal_revenue_per_t_abated</vt:lpstr>
      <vt:lpstr>just_transition_base_government_revenue_index_pct</vt:lpstr>
      <vt:lpstr>just_transition_base_gross_fiscal_revenue_bn</vt:lpstr>
      <vt:lpstr>just_transition_base_household_compensation_pct</vt:lpstr>
      <vt:lpstr>just_transition_base_investment_impact_pct</vt:lpstr>
      <vt:lpstr>just_transition_base_ndc_progress_pct</vt:lpstr>
      <vt:lpstr>just_transition_base_net_budget_revenue_bn</vt:lpstr>
      <vt:lpstr>just_transition_base_net_fiscal_revenue_bn</vt:lpstr>
      <vt:lpstr>just_transition_base_net_gdp_impact_bn</vt:lpstr>
      <vt:lpstr>just_transition_base_net_gdp_impact_pct</vt:lpstr>
      <vt:lpstr>just_transition_base_recycled_revenue_bn</vt:lpstr>
      <vt:lpstr>just_transition_base_recycling_gdp_offset_pct</vt:lpstr>
      <vt:lpstr>just_transition_base_residual_emissions_mt</vt:lpstr>
      <vt:lpstr>just_transition_base_trade_impact_pct</vt:lpstr>
      <vt:lpstr>just_transition_bear_emissions_reduction_mt</vt:lpstr>
      <vt:lpstr>just_transition_bear_emissions_reduction_pct</vt:lpstr>
      <vt:lpstr>just_transition_bear_fiscal_revenue_per_t_abated</vt:lpstr>
      <vt:lpstr>just_transition_bear_government_revenue_index_pct</vt:lpstr>
      <vt:lpstr>just_transition_bear_gross_fiscal_revenue_bn</vt:lpstr>
      <vt:lpstr>just_transition_bear_household_compensation_pct</vt:lpstr>
      <vt:lpstr>just_transition_bear_investment_impact_pct</vt:lpstr>
      <vt:lpstr>just_transition_bear_ndc_progress_pct</vt:lpstr>
      <vt:lpstr>just_transition_bear_net_budget_revenue_bn</vt:lpstr>
      <vt:lpstr>just_transition_bear_net_fiscal_revenue_bn</vt:lpstr>
      <vt:lpstr>just_transition_bear_net_gdp_impact_bn</vt:lpstr>
      <vt:lpstr>just_transition_bear_net_gdp_impact_pct</vt:lpstr>
      <vt:lpstr>just_transition_bear_recycled_revenue_bn</vt:lpstr>
      <vt:lpstr>just_transition_bear_residual_emissions_mt</vt:lpstr>
      <vt:lpstr>just_transition_bear_trade_impact_pct</vt:lpstr>
      <vt:lpstr>just_transition_bull_emissions_reduction_mt</vt:lpstr>
      <vt:lpstr>just_transition_bull_emissions_reduction_pct</vt:lpstr>
      <vt:lpstr>just_transition_bull_fiscal_revenue_per_t_abated</vt:lpstr>
      <vt:lpstr>just_transition_bull_government_revenue_index_pct</vt:lpstr>
      <vt:lpstr>just_transition_bull_gross_fiscal_revenue_bn</vt:lpstr>
      <vt:lpstr>just_transition_bull_household_compensation_pct</vt:lpstr>
      <vt:lpstr>just_transition_bull_investment_impact_pct</vt:lpstr>
      <vt:lpstr>just_transition_bull_ndc_progress_pct</vt:lpstr>
      <vt:lpstr>just_transition_bull_net_budget_revenue_bn</vt:lpstr>
      <vt:lpstr>just_transition_bull_net_fiscal_revenue_bn</vt:lpstr>
      <vt:lpstr>just_transition_bull_net_gdp_impact_bn</vt:lpstr>
      <vt:lpstr>just_transition_bull_net_gdp_impact_pct</vt:lpstr>
      <vt:lpstr>just_transition_bull_recycled_revenue_bn</vt:lpstr>
      <vt:lpstr>just_transition_bull_residual_emissions_mt</vt:lpstr>
      <vt:lpstr>just_transition_bull_trade_impact_pct</vt:lpstr>
      <vt:lpstr>just_transition_collection</vt:lpstr>
      <vt:lpstr>just_transition_coverage</vt:lpstr>
      <vt:lpstr>just_transition_efficiency</vt:lpstr>
      <vt:lpstr>just_transition_exemption</vt:lpstr>
      <vt:lpstr>just_transition_feasibility</vt:lpstr>
      <vt:lpstr>just_transition_leakage</vt:lpstr>
      <vt:lpstr>just_transition_price</vt:lpstr>
      <vt:lpstr>just_transition_recycling</vt:lpstr>
      <vt:lpstr>pilot_ets_base_carbon_gdp_drag_pct</vt:lpstr>
      <vt:lpstr>pilot_ets_base_efficiency_gdp_benefit_pct</vt:lpstr>
      <vt:lpstr>pilot_ets_base_emissions_reduction_mt</vt:lpstr>
      <vt:lpstr>pilot_ets_base_emissions_reduction_pct</vt:lpstr>
      <vt:lpstr>pilot_ets_base_fiscal_revenue_per_t_abated</vt:lpstr>
      <vt:lpstr>pilot_ets_base_government_revenue_index_pct</vt:lpstr>
      <vt:lpstr>pilot_ets_base_gross_fiscal_revenue_bn</vt:lpstr>
      <vt:lpstr>pilot_ets_base_household_compensation_pct</vt:lpstr>
      <vt:lpstr>pilot_ets_base_investment_impact_pct</vt:lpstr>
      <vt:lpstr>pilot_ets_base_ndc_progress_pct</vt:lpstr>
      <vt:lpstr>pilot_ets_base_net_budget_revenue_bn</vt:lpstr>
      <vt:lpstr>pilot_ets_base_net_fiscal_revenue_bn</vt:lpstr>
      <vt:lpstr>pilot_ets_base_net_gdp_impact_bn</vt:lpstr>
      <vt:lpstr>pilot_ets_base_net_gdp_impact_pct</vt:lpstr>
      <vt:lpstr>pilot_ets_base_recycled_revenue_bn</vt:lpstr>
      <vt:lpstr>pilot_ets_base_recycling_gdp_offset_pct</vt:lpstr>
      <vt:lpstr>pilot_ets_base_residual_emissions_mt</vt:lpstr>
      <vt:lpstr>pilot_ets_base_trade_impact_pct</vt:lpstr>
      <vt:lpstr>pilot_ets_bear_emissions_reduction_mt</vt:lpstr>
      <vt:lpstr>pilot_ets_bear_emissions_reduction_pct</vt:lpstr>
      <vt:lpstr>pilot_ets_bear_fiscal_revenue_per_t_abated</vt:lpstr>
      <vt:lpstr>pilot_ets_bear_government_revenue_index_pct</vt:lpstr>
      <vt:lpstr>pilot_ets_bear_gross_fiscal_revenue_bn</vt:lpstr>
      <vt:lpstr>pilot_ets_bear_household_compensation_pct</vt:lpstr>
      <vt:lpstr>pilot_ets_bear_investment_impact_pct</vt:lpstr>
      <vt:lpstr>pilot_ets_bear_ndc_progress_pct</vt:lpstr>
      <vt:lpstr>pilot_ets_bear_net_budget_revenue_bn</vt:lpstr>
      <vt:lpstr>pilot_ets_bear_net_fiscal_revenue_bn</vt:lpstr>
      <vt:lpstr>pilot_ets_bear_net_gdp_impact_bn</vt:lpstr>
      <vt:lpstr>pilot_ets_bear_net_gdp_impact_pct</vt:lpstr>
      <vt:lpstr>pilot_ets_bear_recycled_revenue_bn</vt:lpstr>
      <vt:lpstr>pilot_ets_bear_residual_emissions_mt</vt:lpstr>
      <vt:lpstr>pilot_ets_bear_trade_impact_pct</vt:lpstr>
      <vt:lpstr>pilot_ets_bull_emissions_reduction_mt</vt:lpstr>
      <vt:lpstr>pilot_ets_bull_emissions_reduction_pct</vt:lpstr>
      <vt:lpstr>pilot_ets_bull_fiscal_revenue_per_t_abated</vt:lpstr>
      <vt:lpstr>pilot_ets_bull_government_revenue_index_pct</vt:lpstr>
      <vt:lpstr>pilot_ets_bull_gross_fiscal_revenue_bn</vt:lpstr>
      <vt:lpstr>pilot_ets_bull_household_compensation_pct</vt:lpstr>
      <vt:lpstr>pilot_ets_bull_investment_impact_pct</vt:lpstr>
      <vt:lpstr>pilot_ets_bull_ndc_progress_pct</vt:lpstr>
      <vt:lpstr>pilot_ets_bull_net_budget_revenue_bn</vt:lpstr>
      <vt:lpstr>pilot_ets_bull_net_fiscal_revenue_bn</vt:lpstr>
      <vt:lpstr>pilot_ets_bull_net_gdp_impact_bn</vt:lpstr>
      <vt:lpstr>pilot_ets_bull_net_gdp_impact_pct</vt:lpstr>
      <vt:lpstr>pilot_ets_bull_recycled_revenue_bn</vt:lpstr>
      <vt:lpstr>pilot_ets_bull_residual_emissions_mt</vt:lpstr>
      <vt:lpstr>pilot_ets_bull_trade_impact_pct</vt:lpstr>
      <vt:lpstr>pilot_ets_collection</vt:lpstr>
      <vt:lpstr>pilot_ets_coverage</vt:lpstr>
      <vt:lpstr>pilot_ets_efficiency</vt:lpstr>
      <vt:lpstr>pilot_ets_exemption</vt:lpstr>
      <vt:lpstr>pilot_ets_feasibility</vt:lpstr>
      <vt:lpstr>pilot_ets_leakage</vt:lpstr>
      <vt:lpstr>pilot_ets_price</vt:lpstr>
      <vt:lpstr>pilot_ets_recycling</vt:lpstr>
      <vt:lpstr>Cover!Print_Area</vt:lpstr>
      <vt:lpstr>'Decision Matrix'!Print_Area</vt:lpstr>
      <vt:lpstr>'Executive Summary'!Print_Area</vt:lpstr>
      <vt:lpstr>'Scenario Comparison'!Print_Area</vt:lpstr>
      <vt:lpstr>protected_industry_base_carbon_gdp_drag_pct</vt:lpstr>
      <vt:lpstr>protected_industry_base_efficiency_gdp_benefit_pct</vt:lpstr>
      <vt:lpstr>protected_industry_base_emissions_reduction_mt</vt:lpstr>
      <vt:lpstr>protected_industry_base_emissions_reduction_pct</vt:lpstr>
      <vt:lpstr>protected_industry_base_fiscal_revenue_per_t_abated</vt:lpstr>
      <vt:lpstr>protected_industry_base_government_revenue_index_pct</vt:lpstr>
      <vt:lpstr>protected_industry_base_gross_fiscal_revenue_bn</vt:lpstr>
      <vt:lpstr>protected_industry_base_household_compensation_pct</vt:lpstr>
      <vt:lpstr>protected_industry_base_investment_impact_pct</vt:lpstr>
      <vt:lpstr>protected_industry_base_ndc_progress_pct</vt:lpstr>
      <vt:lpstr>protected_industry_base_net_budget_revenue_bn</vt:lpstr>
      <vt:lpstr>protected_industry_base_net_fiscal_revenue_bn</vt:lpstr>
      <vt:lpstr>protected_industry_base_net_gdp_impact_bn</vt:lpstr>
      <vt:lpstr>protected_industry_base_net_gdp_impact_pct</vt:lpstr>
      <vt:lpstr>protected_industry_base_recycled_revenue_bn</vt:lpstr>
      <vt:lpstr>protected_industry_base_recycling_gdp_offset_pct</vt:lpstr>
      <vt:lpstr>protected_industry_base_residual_emissions_mt</vt:lpstr>
      <vt:lpstr>protected_industry_base_trade_impact_pct</vt:lpstr>
      <vt:lpstr>protected_industry_bear_emissions_reduction_mt</vt:lpstr>
      <vt:lpstr>protected_industry_bear_emissions_reduction_pct</vt:lpstr>
      <vt:lpstr>protected_industry_bear_fiscal_revenue_per_t_abated</vt:lpstr>
      <vt:lpstr>protected_industry_bear_government_revenue_index_pct</vt:lpstr>
      <vt:lpstr>protected_industry_bear_gross_fiscal_revenue_bn</vt:lpstr>
      <vt:lpstr>protected_industry_bear_household_compensation_pct</vt:lpstr>
      <vt:lpstr>protected_industry_bear_investment_impact_pct</vt:lpstr>
      <vt:lpstr>protected_industry_bear_ndc_progress_pct</vt:lpstr>
      <vt:lpstr>protected_industry_bear_net_budget_revenue_bn</vt:lpstr>
      <vt:lpstr>protected_industry_bear_net_fiscal_revenue_bn</vt:lpstr>
      <vt:lpstr>protected_industry_bear_net_gdp_impact_bn</vt:lpstr>
      <vt:lpstr>protected_industry_bear_net_gdp_impact_pct</vt:lpstr>
      <vt:lpstr>protected_industry_bear_recycled_revenue_bn</vt:lpstr>
      <vt:lpstr>protected_industry_bear_residual_emissions_mt</vt:lpstr>
      <vt:lpstr>protected_industry_bear_trade_impact_pct</vt:lpstr>
      <vt:lpstr>protected_industry_bull_emissions_reduction_mt</vt:lpstr>
      <vt:lpstr>protected_industry_bull_emissions_reduction_pct</vt:lpstr>
      <vt:lpstr>protected_industry_bull_fiscal_revenue_per_t_abated</vt:lpstr>
      <vt:lpstr>protected_industry_bull_government_revenue_index_pct</vt:lpstr>
      <vt:lpstr>protected_industry_bull_gross_fiscal_revenue_bn</vt:lpstr>
      <vt:lpstr>protected_industry_bull_household_compensation_pct</vt:lpstr>
      <vt:lpstr>protected_industry_bull_investment_impact_pct</vt:lpstr>
      <vt:lpstr>protected_industry_bull_ndc_progress_pct</vt:lpstr>
      <vt:lpstr>protected_industry_bull_net_budget_revenue_bn</vt:lpstr>
      <vt:lpstr>protected_industry_bull_net_fiscal_revenue_bn</vt:lpstr>
      <vt:lpstr>protected_industry_bull_net_gdp_impact_bn</vt:lpstr>
      <vt:lpstr>protected_industry_bull_net_gdp_impact_pct</vt:lpstr>
      <vt:lpstr>protected_industry_bull_recycled_revenue_bn</vt:lpstr>
      <vt:lpstr>protected_industry_bull_residual_emissions_mt</vt:lpstr>
      <vt:lpstr>protected_industry_bull_trade_impact_pct</vt:lpstr>
      <vt:lpstr>protected_industry_collection</vt:lpstr>
      <vt:lpstr>protected_industry_coverage</vt:lpstr>
      <vt:lpstr>protected_industry_efficiency</vt:lpstr>
      <vt:lpstr>protected_industry_exemption</vt:lpstr>
      <vt:lpstr>protected_industry_feasibility</vt:lpstr>
      <vt:lpstr>protected_industry_leakage</vt:lpstr>
      <vt:lpstr>protected_industry_price</vt:lpstr>
      <vt:lpstr>protected_industry_recycling</vt:lpstr>
      <vt:lpstr>scenario_base_efficiency_realization</vt:lpstr>
      <vt:lpstr>scenario_base_gdp_drag_multiplier</vt:lpstr>
      <vt:lpstr>scenario_base_probability</vt:lpstr>
      <vt:lpstr>scenario_base_response_multiplier</vt:lpstr>
      <vt:lpstr>scenario_bear_efficiency_realization</vt:lpstr>
      <vt:lpstr>scenario_bear_gdp_drag_multiplier</vt:lpstr>
      <vt:lpstr>scenario_bear_probability</vt:lpstr>
      <vt:lpstr>scenario_bear_response_multiplier</vt:lpstr>
      <vt:lpstr>scenario_bull_efficiency_realization</vt:lpstr>
      <vt:lpstr>scenario_bull_gdp_drag_multiplier</vt:lpstr>
      <vt:lpstr>scenario_bull_probability</vt:lpstr>
      <vt:lpstr>scenario_bull_response_multiplier</vt:lpstr>
      <vt:lpstr>tax_only_base_carbon_gdp_drag_pct</vt:lpstr>
      <vt:lpstr>tax_only_base_efficiency_gdp_benefit_pct</vt:lpstr>
      <vt:lpstr>tax_only_base_emissions_reduction_mt</vt:lpstr>
      <vt:lpstr>tax_only_base_emissions_reduction_pct</vt:lpstr>
      <vt:lpstr>tax_only_base_fiscal_revenue_per_t_abated</vt:lpstr>
      <vt:lpstr>tax_only_base_government_revenue_index_pct</vt:lpstr>
      <vt:lpstr>tax_only_base_gross_fiscal_revenue_bn</vt:lpstr>
      <vt:lpstr>tax_only_base_household_compensation_pct</vt:lpstr>
      <vt:lpstr>tax_only_base_investment_impact_pct</vt:lpstr>
      <vt:lpstr>tax_only_base_ndc_progress_pct</vt:lpstr>
      <vt:lpstr>tax_only_base_net_budget_revenue_bn</vt:lpstr>
      <vt:lpstr>tax_only_base_net_fiscal_revenue_bn</vt:lpstr>
      <vt:lpstr>tax_only_base_net_gdp_impact_bn</vt:lpstr>
      <vt:lpstr>tax_only_base_net_gdp_impact_pct</vt:lpstr>
      <vt:lpstr>tax_only_base_recycled_revenue_bn</vt:lpstr>
      <vt:lpstr>tax_only_base_recycling_gdp_offset_pct</vt:lpstr>
      <vt:lpstr>tax_only_base_residual_emissions_mt</vt:lpstr>
      <vt:lpstr>tax_only_base_trade_impact_pct</vt:lpstr>
      <vt:lpstr>tax_only_bear_emissions_reduction_mt</vt:lpstr>
      <vt:lpstr>tax_only_bear_emissions_reduction_pct</vt:lpstr>
      <vt:lpstr>tax_only_bear_fiscal_revenue_per_t_abated</vt:lpstr>
      <vt:lpstr>tax_only_bear_government_revenue_index_pct</vt:lpstr>
      <vt:lpstr>tax_only_bear_gross_fiscal_revenue_bn</vt:lpstr>
      <vt:lpstr>tax_only_bear_household_compensation_pct</vt:lpstr>
      <vt:lpstr>tax_only_bear_investment_impact_pct</vt:lpstr>
      <vt:lpstr>tax_only_bear_ndc_progress_pct</vt:lpstr>
      <vt:lpstr>tax_only_bear_net_budget_revenue_bn</vt:lpstr>
      <vt:lpstr>tax_only_bear_net_fiscal_revenue_bn</vt:lpstr>
      <vt:lpstr>tax_only_bear_net_gdp_impact_bn</vt:lpstr>
      <vt:lpstr>tax_only_bear_net_gdp_impact_pct</vt:lpstr>
      <vt:lpstr>tax_only_bear_recycled_revenue_bn</vt:lpstr>
      <vt:lpstr>tax_only_bear_residual_emissions_mt</vt:lpstr>
      <vt:lpstr>tax_only_bear_trade_impact_pct</vt:lpstr>
      <vt:lpstr>tax_only_bull_emissions_reduction_mt</vt:lpstr>
      <vt:lpstr>tax_only_bull_emissions_reduction_pct</vt:lpstr>
      <vt:lpstr>tax_only_bull_fiscal_revenue_per_t_abated</vt:lpstr>
      <vt:lpstr>tax_only_bull_government_revenue_index_pct</vt:lpstr>
      <vt:lpstr>tax_only_bull_gross_fiscal_revenue_bn</vt:lpstr>
      <vt:lpstr>tax_only_bull_household_compensation_pct</vt:lpstr>
      <vt:lpstr>tax_only_bull_investment_impact_pct</vt:lpstr>
      <vt:lpstr>tax_only_bull_ndc_progress_pct</vt:lpstr>
      <vt:lpstr>tax_only_bull_net_budget_revenue_bn</vt:lpstr>
      <vt:lpstr>tax_only_bull_net_fiscal_revenue_bn</vt:lpstr>
      <vt:lpstr>tax_only_bull_net_gdp_impact_bn</vt:lpstr>
      <vt:lpstr>tax_only_bull_net_gdp_impact_pct</vt:lpstr>
      <vt:lpstr>tax_only_bull_recycled_revenue_bn</vt:lpstr>
      <vt:lpstr>tax_only_bull_residual_emissions_mt</vt:lpstr>
      <vt:lpstr>tax_only_bull_trade_impact_pct</vt:lpstr>
      <vt:lpstr>tax_only_collection</vt:lpstr>
      <vt:lpstr>tax_only_coverage</vt:lpstr>
      <vt:lpstr>tax_only_efficiency</vt:lpstr>
      <vt:lpstr>tax_only_exemption</vt:lpstr>
      <vt:lpstr>tax_only_feasibility</vt:lpstr>
      <vt:lpstr>tax_only_leakage</vt:lpstr>
      <vt:lpstr>tax_only_price</vt:lpstr>
      <vt:lpstr>tax_only_recycling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Thu Ho</cp:lastModifiedBy>
  <dcterms:created xsi:type="dcterms:W3CDTF">2026-07-14T03:01:47Z</dcterms:created>
  <dcterms:modified xsi:type="dcterms:W3CDTF">2026-07-14T03:01:52Z</dcterms:modified>
</cp:coreProperties>
</file>